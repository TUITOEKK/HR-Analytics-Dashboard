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ose\Documents\APPS\"/>
    </mc:Choice>
  </mc:AlternateContent>
  <xr:revisionPtr revIDLastSave="0" documentId="8_{F105F8AC-5232-4AF6-807B-49A57EDDD96F}" xr6:coauthVersionLast="47" xr6:coauthVersionMax="47" xr10:uidLastSave="{00000000-0000-0000-0000-000000000000}"/>
  <bookViews>
    <workbookView xWindow="-120" yWindow="-120" windowWidth="20730" windowHeight="11760" xr2:uid="{C58D9230-028E-46CE-8795-4BA955343D3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Z312" i="1" l="1"/>
  <c r="X312" i="1"/>
  <c r="R312" i="1"/>
  <c r="Z311" i="1"/>
  <c r="X311" i="1"/>
  <c r="R311" i="1"/>
  <c r="Z310" i="1"/>
  <c r="X310" i="1"/>
  <c r="R310" i="1"/>
  <c r="Z309" i="1"/>
  <c r="X309" i="1"/>
  <c r="R309" i="1"/>
  <c r="Z308" i="1"/>
  <c r="X308" i="1"/>
  <c r="R308" i="1"/>
  <c r="Z307" i="1"/>
  <c r="X307" i="1"/>
  <c r="R307" i="1"/>
  <c r="Z306" i="1"/>
  <c r="X306" i="1"/>
  <c r="R306" i="1"/>
  <c r="Z305" i="1"/>
  <c r="X305" i="1"/>
  <c r="R305" i="1"/>
  <c r="Z304" i="1"/>
  <c r="X304" i="1"/>
  <c r="R304" i="1"/>
  <c r="Z303" i="1"/>
  <c r="X303" i="1"/>
  <c r="R303" i="1"/>
  <c r="Z302" i="1"/>
  <c r="X302" i="1"/>
  <c r="R302" i="1"/>
  <c r="Z301" i="1"/>
  <c r="X301" i="1"/>
  <c r="R301" i="1"/>
  <c r="Z300" i="1"/>
  <c r="X300" i="1"/>
  <c r="R300" i="1"/>
  <c r="Z299" i="1"/>
  <c r="X299" i="1"/>
  <c r="R299" i="1"/>
  <c r="Z298" i="1"/>
  <c r="X298" i="1"/>
  <c r="R298" i="1"/>
  <c r="Z297" i="1"/>
  <c r="X297" i="1"/>
  <c r="R297" i="1"/>
  <c r="Z296" i="1"/>
  <c r="X296" i="1"/>
  <c r="R296" i="1"/>
  <c r="Z295" i="1"/>
  <c r="X295" i="1"/>
  <c r="R295" i="1"/>
  <c r="Z294" i="1"/>
  <c r="X294" i="1"/>
  <c r="R294" i="1"/>
  <c r="Z293" i="1"/>
  <c r="X293" i="1"/>
  <c r="R293" i="1"/>
  <c r="Z292" i="1"/>
  <c r="X292" i="1"/>
  <c r="R292" i="1"/>
  <c r="Z291" i="1"/>
  <c r="X291" i="1"/>
  <c r="R291" i="1"/>
  <c r="Z290" i="1"/>
  <c r="X290" i="1"/>
  <c r="R290" i="1"/>
  <c r="Z289" i="1"/>
  <c r="X289" i="1"/>
  <c r="R289" i="1"/>
  <c r="Z288" i="1"/>
  <c r="X288" i="1"/>
  <c r="R288" i="1"/>
  <c r="Z287" i="1"/>
  <c r="X287" i="1"/>
  <c r="R287" i="1"/>
  <c r="Z286" i="1"/>
  <c r="X286" i="1"/>
  <c r="R286" i="1"/>
  <c r="Z285" i="1"/>
  <c r="X285" i="1"/>
  <c r="R285" i="1"/>
  <c r="Z284" i="1"/>
  <c r="X284" i="1"/>
  <c r="R284" i="1"/>
  <c r="Z283" i="1"/>
  <c r="X283" i="1"/>
  <c r="R283" i="1"/>
  <c r="Z282" i="1"/>
  <c r="X282" i="1"/>
  <c r="R282" i="1"/>
  <c r="Z281" i="1"/>
  <c r="X281" i="1"/>
  <c r="R281" i="1"/>
  <c r="Z280" i="1"/>
  <c r="X280" i="1"/>
  <c r="R280" i="1"/>
  <c r="Z279" i="1"/>
  <c r="X279" i="1"/>
  <c r="R279" i="1"/>
  <c r="Z278" i="1"/>
  <c r="X278" i="1"/>
  <c r="R278" i="1"/>
  <c r="Z277" i="1"/>
  <c r="X277" i="1"/>
  <c r="R277" i="1"/>
  <c r="Z276" i="1"/>
  <c r="X276" i="1"/>
  <c r="R276" i="1"/>
  <c r="Z275" i="1"/>
  <c r="X275" i="1"/>
  <c r="R275" i="1"/>
  <c r="Z274" i="1"/>
  <c r="X274" i="1"/>
  <c r="R274" i="1"/>
  <c r="Z273" i="1"/>
  <c r="X273" i="1"/>
  <c r="R273" i="1"/>
  <c r="Z272" i="1"/>
  <c r="X272" i="1"/>
  <c r="R272" i="1"/>
  <c r="Z271" i="1"/>
  <c r="X271" i="1"/>
  <c r="R271" i="1"/>
  <c r="Z270" i="1"/>
  <c r="X270" i="1"/>
  <c r="R270" i="1"/>
  <c r="Z269" i="1"/>
  <c r="X269" i="1"/>
  <c r="R269" i="1"/>
  <c r="Z268" i="1"/>
  <c r="X268" i="1"/>
  <c r="R268" i="1"/>
  <c r="Z267" i="1"/>
  <c r="X267" i="1"/>
  <c r="R267" i="1"/>
  <c r="Z266" i="1"/>
  <c r="X266" i="1"/>
  <c r="R266" i="1"/>
  <c r="Z265" i="1"/>
  <c r="X265" i="1"/>
  <c r="R265" i="1"/>
  <c r="Z264" i="1"/>
  <c r="X264" i="1"/>
  <c r="R264" i="1"/>
  <c r="Z263" i="1"/>
  <c r="X263" i="1"/>
  <c r="R263" i="1"/>
  <c r="Z262" i="1"/>
  <c r="X262" i="1"/>
  <c r="R262" i="1"/>
  <c r="Z261" i="1"/>
  <c r="X261" i="1"/>
  <c r="R261" i="1"/>
  <c r="Z260" i="1"/>
  <c r="X260" i="1"/>
  <c r="R260" i="1"/>
  <c r="Z259" i="1"/>
  <c r="X259" i="1"/>
  <c r="R259" i="1"/>
  <c r="Z258" i="1"/>
  <c r="X258" i="1"/>
  <c r="R258" i="1"/>
  <c r="Z257" i="1"/>
  <c r="X257" i="1"/>
  <c r="R257" i="1"/>
  <c r="Z256" i="1"/>
  <c r="X256" i="1"/>
  <c r="R256" i="1"/>
  <c r="Z255" i="1"/>
  <c r="X255" i="1"/>
  <c r="R255" i="1"/>
  <c r="Z254" i="1"/>
  <c r="X254" i="1"/>
  <c r="R254" i="1"/>
  <c r="Z253" i="1"/>
  <c r="X253" i="1"/>
  <c r="R253" i="1"/>
  <c r="Z252" i="1"/>
  <c r="X252" i="1"/>
  <c r="R252" i="1"/>
  <c r="Z251" i="1"/>
  <c r="X251" i="1"/>
  <c r="R251" i="1"/>
  <c r="Z250" i="1"/>
  <c r="X250" i="1"/>
  <c r="R250" i="1"/>
  <c r="Z249" i="1"/>
  <c r="X249" i="1"/>
  <c r="R249" i="1"/>
  <c r="Z248" i="1"/>
  <c r="X248" i="1"/>
  <c r="R248" i="1"/>
  <c r="Z247" i="1"/>
  <c r="X247" i="1"/>
  <c r="R247" i="1"/>
  <c r="Z246" i="1"/>
  <c r="X246" i="1"/>
  <c r="R246" i="1"/>
  <c r="Z245" i="1"/>
  <c r="X245" i="1"/>
  <c r="R245" i="1"/>
  <c r="Z244" i="1"/>
  <c r="X244" i="1"/>
  <c r="R244" i="1"/>
  <c r="Z243" i="1"/>
  <c r="X243" i="1"/>
  <c r="R243" i="1"/>
  <c r="Z242" i="1"/>
  <c r="X242" i="1"/>
  <c r="R242" i="1"/>
  <c r="Z241" i="1"/>
  <c r="X241" i="1"/>
  <c r="R241" i="1"/>
  <c r="Z240" i="1"/>
  <c r="X240" i="1"/>
  <c r="R240" i="1"/>
  <c r="Z239" i="1"/>
  <c r="X239" i="1"/>
  <c r="R239" i="1"/>
  <c r="Z238" i="1"/>
  <c r="X238" i="1"/>
  <c r="R238" i="1"/>
  <c r="Z237" i="1"/>
  <c r="X237" i="1"/>
  <c r="R237" i="1"/>
  <c r="Z236" i="1"/>
  <c r="X236" i="1"/>
  <c r="R236" i="1"/>
  <c r="Z235" i="1"/>
  <c r="X235" i="1"/>
  <c r="R235" i="1"/>
  <c r="Z234" i="1"/>
  <c r="X234" i="1"/>
  <c r="R234" i="1"/>
  <c r="Z233" i="1"/>
  <c r="X233" i="1"/>
  <c r="R233" i="1"/>
  <c r="Z232" i="1"/>
  <c r="X232" i="1"/>
  <c r="R232" i="1"/>
  <c r="Z231" i="1"/>
  <c r="X231" i="1"/>
  <c r="R231" i="1"/>
  <c r="Z230" i="1"/>
  <c r="X230" i="1"/>
  <c r="R230" i="1"/>
  <c r="Z229" i="1"/>
  <c r="X229" i="1"/>
  <c r="R229" i="1"/>
  <c r="Z228" i="1"/>
  <c r="X228" i="1"/>
  <c r="R228" i="1"/>
  <c r="Z227" i="1"/>
  <c r="X227" i="1"/>
  <c r="R227" i="1"/>
  <c r="Z226" i="1"/>
  <c r="X226" i="1"/>
  <c r="R226" i="1"/>
  <c r="Z225" i="1"/>
  <c r="X225" i="1"/>
  <c r="R225" i="1"/>
  <c r="Z224" i="1"/>
  <c r="X224" i="1"/>
  <c r="R224" i="1"/>
  <c r="Z223" i="1"/>
  <c r="X223" i="1"/>
  <c r="R223" i="1"/>
  <c r="Z222" i="1"/>
  <c r="X222" i="1"/>
  <c r="R222" i="1"/>
  <c r="Z221" i="1"/>
  <c r="X221" i="1"/>
  <c r="R221" i="1"/>
  <c r="Z220" i="1"/>
  <c r="X220" i="1"/>
  <c r="R220" i="1"/>
  <c r="Z219" i="1"/>
  <c r="X219" i="1"/>
  <c r="R219" i="1"/>
  <c r="Z218" i="1"/>
  <c r="X218" i="1"/>
  <c r="R218" i="1"/>
  <c r="Z217" i="1"/>
  <c r="X217" i="1"/>
  <c r="R217" i="1"/>
  <c r="Z216" i="1"/>
  <c r="X216" i="1"/>
  <c r="R216" i="1"/>
  <c r="Z215" i="1"/>
  <c r="X215" i="1"/>
  <c r="R215" i="1"/>
  <c r="Z214" i="1"/>
  <c r="X214" i="1"/>
  <c r="R214" i="1"/>
  <c r="Z213" i="1"/>
  <c r="X213" i="1"/>
  <c r="R213" i="1"/>
  <c r="Z212" i="1"/>
  <c r="X212" i="1"/>
  <c r="R212" i="1"/>
  <c r="Z211" i="1"/>
  <c r="X211" i="1"/>
  <c r="R211" i="1"/>
  <c r="Z210" i="1"/>
  <c r="X210" i="1"/>
  <c r="R210" i="1"/>
  <c r="Z209" i="1"/>
  <c r="X209" i="1"/>
  <c r="R209" i="1"/>
  <c r="Z208" i="1"/>
  <c r="X208" i="1"/>
  <c r="R208" i="1"/>
  <c r="Z207" i="1"/>
  <c r="X207" i="1"/>
  <c r="R207" i="1"/>
  <c r="Z206" i="1"/>
  <c r="X206" i="1"/>
  <c r="R206" i="1"/>
  <c r="Z205" i="1"/>
  <c r="X205" i="1"/>
  <c r="R205" i="1"/>
  <c r="Z204" i="1"/>
  <c r="X204" i="1"/>
  <c r="R204" i="1"/>
  <c r="Z203" i="1"/>
  <c r="X203" i="1"/>
  <c r="R203" i="1"/>
  <c r="Z202" i="1"/>
  <c r="X202" i="1"/>
  <c r="R202" i="1"/>
  <c r="Z201" i="1"/>
  <c r="X201" i="1"/>
  <c r="R201" i="1"/>
  <c r="Z200" i="1"/>
  <c r="X200" i="1"/>
  <c r="R200" i="1"/>
  <c r="Z199" i="1"/>
  <c r="X199" i="1"/>
  <c r="R199" i="1"/>
  <c r="Z198" i="1"/>
  <c r="X198" i="1"/>
  <c r="R198" i="1"/>
  <c r="Z197" i="1"/>
  <c r="X197" i="1"/>
  <c r="R197" i="1"/>
  <c r="Z196" i="1"/>
  <c r="X196" i="1"/>
  <c r="R196" i="1"/>
  <c r="Z195" i="1"/>
  <c r="X195" i="1"/>
  <c r="R195" i="1"/>
  <c r="Z194" i="1"/>
  <c r="X194" i="1"/>
  <c r="R194" i="1"/>
  <c r="Z193" i="1"/>
  <c r="X193" i="1"/>
  <c r="R193" i="1"/>
  <c r="Z192" i="1"/>
  <c r="X192" i="1"/>
  <c r="R192" i="1"/>
  <c r="Z191" i="1"/>
  <c r="X191" i="1"/>
  <c r="R191" i="1"/>
  <c r="Z190" i="1"/>
  <c r="X190" i="1"/>
  <c r="R190" i="1"/>
  <c r="Z189" i="1"/>
  <c r="X189" i="1"/>
  <c r="R189" i="1"/>
  <c r="Z188" i="1"/>
  <c r="X188" i="1"/>
  <c r="R188" i="1"/>
  <c r="Z187" i="1"/>
  <c r="X187" i="1"/>
  <c r="R187" i="1"/>
  <c r="Z186" i="1"/>
  <c r="X186" i="1"/>
  <c r="R186" i="1"/>
  <c r="Z185" i="1"/>
  <c r="X185" i="1"/>
  <c r="R185" i="1"/>
  <c r="Z184" i="1"/>
  <c r="X184" i="1"/>
  <c r="R184" i="1"/>
  <c r="Z183" i="1"/>
  <c r="X183" i="1"/>
  <c r="R183" i="1"/>
  <c r="Z182" i="1"/>
  <c r="X182" i="1"/>
  <c r="R182" i="1"/>
  <c r="Z181" i="1"/>
  <c r="X181" i="1"/>
  <c r="R181" i="1"/>
  <c r="Z180" i="1"/>
  <c r="X180" i="1"/>
  <c r="R180" i="1"/>
  <c r="Z179" i="1"/>
  <c r="X179" i="1"/>
  <c r="R179" i="1"/>
  <c r="Z178" i="1"/>
  <c r="X178" i="1"/>
  <c r="R178" i="1"/>
  <c r="Z177" i="1"/>
  <c r="X177" i="1"/>
  <c r="R177" i="1"/>
  <c r="Z176" i="1"/>
  <c r="X176" i="1"/>
  <c r="R176" i="1"/>
  <c r="Z175" i="1"/>
  <c r="X175" i="1"/>
  <c r="R175" i="1"/>
  <c r="Z174" i="1"/>
  <c r="X174" i="1"/>
  <c r="R174" i="1"/>
  <c r="Z173" i="1"/>
  <c r="X173" i="1"/>
  <c r="R173" i="1"/>
  <c r="Z172" i="1"/>
  <c r="X172" i="1"/>
  <c r="R172" i="1"/>
  <c r="Z171" i="1"/>
  <c r="X171" i="1"/>
  <c r="R171" i="1"/>
  <c r="Z170" i="1"/>
  <c r="X170" i="1"/>
  <c r="R170" i="1"/>
  <c r="Z169" i="1"/>
  <c r="X169" i="1"/>
  <c r="R169" i="1"/>
  <c r="Z168" i="1"/>
  <c r="X168" i="1"/>
  <c r="R168" i="1"/>
  <c r="Z167" i="1"/>
  <c r="X167" i="1"/>
  <c r="R167" i="1"/>
  <c r="Z166" i="1"/>
  <c r="X166" i="1"/>
  <c r="R166" i="1"/>
  <c r="Z165" i="1"/>
  <c r="X165" i="1"/>
  <c r="R165" i="1"/>
  <c r="Z164" i="1"/>
  <c r="X164" i="1"/>
  <c r="R164" i="1"/>
  <c r="Z163" i="1"/>
  <c r="X163" i="1"/>
  <c r="R163" i="1"/>
  <c r="Z162" i="1"/>
  <c r="X162" i="1"/>
  <c r="R162" i="1"/>
  <c r="Z161" i="1"/>
  <c r="X161" i="1"/>
  <c r="R161" i="1"/>
  <c r="Z160" i="1"/>
  <c r="X160" i="1"/>
  <c r="R160" i="1"/>
  <c r="Z159" i="1"/>
  <c r="X159" i="1"/>
  <c r="R159" i="1"/>
  <c r="Z158" i="1"/>
  <c r="X158" i="1"/>
  <c r="R158" i="1"/>
  <c r="Z157" i="1"/>
  <c r="X157" i="1"/>
  <c r="R157" i="1"/>
  <c r="Z156" i="1"/>
  <c r="X156" i="1"/>
  <c r="R156" i="1"/>
  <c r="Z155" i="1"/>
  <c r="X155" i="1"/>
  <c r="R155" i="1"/>
  <c r="Z154" i="1"/>
  <c r="X154" i="1"/>
  <c r="R154" i="1"/>
  <c r="Z153" i="1"/>
  <c r="X153" i="1"/>
  <c r="R153" i="1"/>
  <c r="Z152" i="1"/>
  <c r="X152" i="1"/>
  <c r="R152" i="1"/>
  <c r="Z151" i="1"/>
  <c r="X151" i="1"/>
  <c r="R151" i="1"/>
  <c r="Z150" i="1"/>
  <c r="X150" i="1"/>
  <c r="R150" i="1"/>
  <c r="Z149" i="1"/>
  <c r="X149" i="1"/>
  <c r="R149" i="1"/>
  <c r="Z148" i="1"/>
  <c r="X148" i="1"/>
  <c r="R148" i="1"/>
  <c r="Z147" i="1"/>
  <c r="X147" i="1"/>
  <c r="R147" i="1"/>
  <c r="Z146" i="1"/>
  <c r="X146" i="1"/>
  <c r="R146" i="1"/>
  <c r="Z145" i="1"/>
  <c r="X145" i="1"/>
  <c r="R145" i="1"/>
  <c r="Z144" i="1"/>
  <c r="X144" i="1"/>
  <c r="R144" i="1"/>
  <c r="Z143" i="1"/>
  <c r="X143" i="1"/>
  <c r="R143" i="1"/>
  <c r="Z142" i="1"/>
  <c r="X142" i="1"/>
  <c r="R142" i="1"/>
  <c r="Z141" i="1"/>
  <c r="X141" i="1"/>
  <c r="R141" i="1"/>
  <c r="Z140" i="1"/>
  <c r="X140" i="1"/>
  <c r="R140" i="1"/>
  <c r="Z139" i="1"/>
  <c r="X139" i="1"/>
  <c r="R139" i="1"/>
  <c r="Z138" i="1"/>
  <c r="X138" i="1"/>
  <c r="R138" i="1"/>
  <c r="Z137" i="1"/>
  <c r="X137" i="1"/>
  <c r="R137" i="1"/>
  <c r="Z136" i="1"/>
  <c r="X136" i="1"/>
  <c r="R136" i="1"/>
  <c r="Z135" i="1"/>
  <c r="X135" i="1"/>
  <c r="R135" i="1"/>
  <c r="Z134" i="1"/>
  <c r="X134" i="1"/>
  <c r="R134" i="1"/>
  <c r="Z133" i="1"/>
  <c r="X133" i="1"/>
  <c r="R133" i="1"/>
  <c r="Z132" i="1"/>
  <c r="X132" i="1"/>
  <c r="R132" i="1"/>
  <c r="Z131" i="1"/>
  <c r="X131" i="1"/>
  <c r="R131" i="1"/>
  <c r="Z130" i="1"/>
  <c r="X130" i="1"/>
  <c r="R130" i="1"/>
  <c r="Z129" i="1"/>
  <c r="X129" i="1"/>
  <c r="R129" i="1"/>
  <c r="Z128" i="1"/>
  <c r="X128" i="1"/>
  <c r="R128" i="1"/>
  <c r="Z127" i="1"/>
  <c r="X127" i="1"/>
  <c r="R127" i="1"/>
  <c r="Z126" i="1"/>
  <c r="X126" i="1"/>
  <c r="R126" i="1"/>
  <c r="Z125" i="1"/>
  <c r="X125" i="1"/>
  <c r="R125" i="1"/>
  <c r="Z124" i="1"/>
  <c r="X124" i="1"/>
  <c r="R124" i="1"/>
  <c r="Z123" i="1"/>
  <c r="X123" i="1"/>
  <c r="R123" i="1"/>
  <c r="Z122" i="1"/>
  <c r="X122" i="1"/>
  <c r="R122" i="1"/>
  <c r="Z121" i="1"/>
  <c r="X121" i="1"/>
  <c r="R121" i="1"/>
  <c r="Z120" i="1"/>
  <c r="X120" i="1"/>
  <c r="R120" i="1"/>
  <c r="Z119" i="1"/>
  <c r="X119" i="1"/>
  <c r="R119" i="1"/>
  <c r="Z118" i="1"/>
  <c r="X118" i="1"/>
  <c r="R118" i="1"/>
  <c r="Z117" i="1"/>
  <c r="X117" i="1"/>
  <c r="R117" i="1"/>
  <c r="Z116" i="1"/>
  <c r="X116" i="1"/>
  <c r="R116" i="1"/>
  <c r="Z115" i="1"/>
  <c r="X115" i="1"/>
  <c r="R115" i="1"/>
  <c r="Z114" i="1"/>
  <c r="X114" i="1"/>
  <c r="R114" i="1"/>
  <c r="Z113" i="1"/>
  <c r="X113" i="1"/>
  <c r="R113" i="1"/>
  <c r="Z112" i="1"/>
  <c r="X112" i="1"/>
  <c r="R112" i="1"/>
  <c r="Z111" i="1"/>
  <c r="X111" i="1"/>
  <c r="R111" i="1"/>
  <c r="Z110" i="1"/>
  <c r="X110" i="1"/>
  <c r="R110" i="1"/>
  <c r="Z109" i="1"/>
  <c r="X109" i="1"/>
  <c r="R109" i="1"/>
  <c r="Z108" i="1"/>
  <c r="X108" i="1"/>
  <c r="R108" i="1"/>
  <c r="Z107" i="1"/>
  <c r="X107" i="1"/>
  <c r="R107" i="1"/>
  <c r="Z106" i="1"/>
  <c r="X106" i="1"/>
  <c r="R106" i="1"/>
  <c r="Z105" i="1"/>
  <c r="X105" i="1"/>
  <c r="R105" i="1"/>
  <c r="Z104" i="1"/>
  <c r="X104" i="1"/>
  <c r="R104" i="1"/>
  <c r="Z103" i="1"/>
  <c r="X103" i="1"/>
  <c r="R103" i="1"/>
  <c r="Z102" i="1"/>
  <c r="X102" i="1"/>
  <c r="R102" i="1"/>
  <c r="Z101" i="1"/>
  <c r="X101" i="1"/>
  <c r="R101" i="1"/>
  <c r="Z100" i="1"/>
  <c r="X100" i="1"/>
  <c r="R100" i="1"/>
  <c r="Z99" i="1"/>
  <c r="X99" i="1"/>
  <c r="R99" i="1"/>
  <c r="Z98" i="1"/>
  <c r="X98" i="1"/>
  <c r="R98" i="1"/>
  <c r="Z97" i="1"/>
  <c r="X97" i="1"/>
  <c r="R97" i="1"/>
  <c r="Z96" i="1"/>
  <c r="X96" i="1"/>
  <c r="R96" i="1"/>
  <c r="Z95" i="1"/>
  <c r="X95" i="1"/>
  <c r="R95" i="1"/>
  <c r="Z94" i="1"/>
  <c r="X94" i="1"/>
  <c r="R94" i="1"/>
  <c r="Z93" i="1"/>
  <c r="X93" i="1"/>
  <c r="R93" i="1"/>
  <c r="Z92" i="1"/>
  <c r="X92" i="1"/>
  <c r="R92" i="1"/>
  <c r="Z91" i="1"/>
  <c r="X91" i="1"/>
  <c r="R91" i="1"/>
  <c r="Z90" i="1"/>
  <c r="X90" i="1"/>
  <c r="R90" i="1"/>
  <c r="Z89" i="1"/>
  <c r="X89" i="1"/>
  <c r="R89" i="1"/>
  <c r="Z88" i="1"/>
  <c r="X88" i="1"/>
  <c r="R88" i="1"/>
  <c r="Z87" i="1"/>
  <c r="X87" i="1"/>
  <c r="R87" i="1"/>
  <c r="Z86" i="1"/>
  <c r="X86" i="1"/>
  <c r="R86" i="1"/>
  <c r="Z85" i="1"/>
  <c r="X85" i="1"/>
  <c r="R85" i="1"/>
  <c r="Z84" i="1"/>
  <c r="X84" i="1"/>
  <c r="R84" i="1"/>
  <c r="Z83" i="1"/>
  <c r="X83" i="1"/>
  <c r="R83" i="1"/>
  <c r="Z82" i="1"/>
  <c r="X82" i="1"/>
  <c r="R82" i="1"/>
  <c r="Z81" i="1"/>
  <c r="X81" i="1"/>
  <c r="R81" i="1"/>
  <c r="Z80" i="1"/>
  <c r="X80" i="1"/>
  <c r="R80" i="1"/>
  <c r="Z79" i="1"/>
  <c r="X79" i="1"/>
  <c r="R79" i="1"/>
  <c r="Z78" i="1"/>
  <c r="X78" i="1"/>
  <c r="R78" i="1"/>
  <c r="Z77" i="1"/>
  <c r="X77" i="1"/>
  <c r="R77" i="1"/>
  <c r="Z76" i="1"/>
  <c r="X76" i="1"/>
  <c r="R76" i="1"/>
  <c r="Z75" i="1"/>
  <c r="X75" i="1"/>
  <c r="R75" i="1"/>
  <c r="Z74" i="1"/>
  <c r="X74" i="1"/>
  <c r="R74" i="1"/>
  <c r="Z73" i="1"/>
  <c r="X73" i="1"/>
  <c r="R73" i="1"/>
  <c r="Z72" i="1"/>
  <c r="X72" i="1"/>
  <c r="R72" i="1"/>
  <c r="Z71" i="1"/>
  <c r="X71" i="1"/>
  <c r="R71" i="1"/>
  <c r="Z70" i="1"/>
  <c r="X70" i="1"/>
  <c r="R70" i="1"/>
  <c r="Z69" i="1"/>
  <c r="X69" i="1"/>
  <c r="R69" i="1"/>
  <c r="Z68" i="1"/>
  <c r="X68" i="1"/>
  <c r="R68" i="1"/>
  <c r="Z67" i="1"/>
  <c r="X67" i="1"/>
  <c r="R67" i="1"/>
  <c r="Z66" i="1"/>
  <c r="X66" i="1"/>
  <c r="R66" i="1"/>
  <c r="Z65" i="1"/>
  <c r="X65" i="1"/>
  <c r="R65" i="1"/>
  <c r="Z64" i="1"/>
  <c r="X64" i="1"/>
  <c r="R64" i="1"/>
  <c r="Z63" i="1"/>
  <c r="X63" i="1"/>
  <c r="R63" i="1"/>
  <c r="Z62" i="1"/>
  <c r="X62" i="1"/>
  <c r="R62" i="1"/>
  <c r="Z61" i="1"/>
  <c r="X61" i="1"/>
  <c r="R61" i="1"/>
  <c r="Z60" i="1"/>
  <c r="X60" i="1"/>
  <c r="R60" i="1"/>
  <c r="Z59" i="1"/>
  <c r="X59" i="1"/>
  <c r="R59" i="1"/>
  <c r="Z58" i="1"/>
  <c r="X58" i="1"/>
  <c r="R58" i="1"/>
  <c r="Z57" i="1"/>
  <c r="X57" i="1"/>
  <c r="R57" i="1"/>
  <c r="Z56" i="1"/>
  <c r="X56" i="1"/>
  <c r="R56" i="1"/>
  <c r="Z55" i="1"/>
  <c r="X55" i="1"/>
  <c r="R55" i="1"/>
  <c r="Z54" i="1"/>
  <c r="X54" i="1"/>
  <c r="R54" i="1"/>
  <c r="Z53" i="1"/>
  <c r="X53" i="1"/>
  <c r="R53" i="1"/>
  <c r="Z52" i="1"/>
  <c r="X52" i="1"/>
  <c r="R52" i="1"/>
  <c r="Z51" i="1"/>
  <c r="X51" i="1"/>
  <c r="R51" i="1"/>
  <c r="Z50" i="1"/>
  <c r="X50" i="1"/>
  <c r="R50" i="1"/>
  <c r="Z49" i="1"/>
  <c r="X49" i="1"/>
  <c r="R49" i="1"/>
  <c r="Z48" i="1"/>
  <c r="X48" i="1"/>
  <c r="R48" i="1"/>
  <c r="Z47" i="1"/>
  <c r="X47" i="1"/>
  <c r="R47" i="1"/>
  <c r="Z46" i="1"/>
  <c r="X46" i="1"/>
  <c r="R46" i="1"/>
  <c r="Z45" i="1"/>
  <c r="X45" i="1"/>
  <c r="R45" i="1"/>
  <c r="Z44" i="1"/>
  <c r="X44" i="1"/>
  <c r="R44" i="1"/>
  <c r="Z43" i="1"/>
  <c r="X43" i="1"/>
  <c r="R43" i="1"/>
  <c r="Z42" i="1"/>
  <c r="X42" i="1"/>
  <c r="R42" i="1"/>
  <c r="Z41" i="1"/>
  <c r="X41" i="1"/>
  <c r="R41" i="1"/>
  <c r="Z40" i="1"/>
  <c r="X40" i="1"/>
  <c r="R40" i="1"/>
  <c r="Z39" i="1"/>
  <c r="X39" i="1"/>
  <c r="R39" i="1"/>
  <c r="Z38" i="1"/>
  <c r="X38" i="1"/>
  <c r="R38" i="1"/>
  <c r="Z37" i="1"/>
  <c r="X37" i="1"/>
  <c r="R37" i="1"/>
  <c r="Z36" i="1"/>
  <c r="X36" i="1"/>
  <c r="R36" i="1"/>
  <c r="Z35" i="1"/>
  <c r="X35" i="1"/>
  <c r="R35" i="1"/>
  <c r="Z34" i="1"/>
  <c r="X34" i="1"/>
  <c r="R34" i="1"/>
  <c r="Z33" i="1"/>
  <c r="X33" i="1"/>
  <c r="R33" i="1"/>
  <c r="Z32" i="1"/>
  <c r="X32" i="1"/>
  <c r="R32" i="1"/>
  <c r="Z31" i="1"/>
  <c r="X31" i="1"/>
  <c r="R31" i="1"/>
  <c r="Z30" i="1"/>
  <c r="X30" i="1"/>
  <c r="R30" i="1"/>
  <c r="Z29" i="1"/>
  <c r="X29" i="1"/>
  <c r="R29" i="1"/>
  <c r="Z28" i="1"/>
  <c r="X28" i="1"/>
  <c r="R28" i="1"/>
  <c r="Z27" i="1"/>
  <c r="X27" i="1"/>
  <c r="R27" i="1"/>
  <c r="Z26" i="1"/>
  <c r="X26" i="1"/>
  <c r="R26" i="1"/>
  <c r="Z25" i="1"/>
  <c r="X25" i="1"/>
  <c r="R25" i="1"/>
  <c r="Z24" i="1"/>
  <c r="X24" i="1"/>
  <c r="R24" i="1"/>
  <c r="Z23" i="1"/>
  <c r="X23" i="1"/>
  <c r="R23" i="1"/>
  <c r="Z22" i="1"/>
  <c r="X22" i="1"/>
  <c r="R22" i="1"/>
  <c r="Z21" i="1"/>
  <c r="X21" i="1"/>
  <c r="R21" i="1"/>
  <c r="Z20" i="1"/>
  <c r="X20" i="1"/>
  <c r="R20" i="1"/>
  <c r="Z19" i="1"/>
  <c r="X19" i="1"/>
  <c r="R19" i="1"/>
  <c r="Z18" i="1"/>
  <c r="X18" i="1"/>
  <c r="R18" i="1"/>
  <c r="Z17" i="1"/>
  <c r="X17" i="1"/>
  <c r="R17" i="1"/>
  <c r="Z16" i="1"/>
  <c r="X16" i="1"/>
  <c r="R16" i="1"/>
  <c r="Z15" i="1"/>
  <c r="X15" i="1"/>
  <c r="R15" i="1"/>
  <c r="Z14" i="1"/>
  <c r="X14" i="1"/>
  <c r="R14" i="1"/>
  <c r="Z13" i="1"/>
  <c r="X13" i="1"/>
  <c r="R13" i="1"/>
  <c r="Z12" i="1"/>
  <c r="X12" i="1"/>
  <c r="R12" i="1"/>
  <c r="Z11" i="1"/>
  <c r="X11" i="1"/>
  <c r="R11" i="1"/>
  <c r="Z10" i="1"/>
  <c r="X10" i="1"/>
  <c r="R10" i="1"/>
  <c r="Z9" i="1"/>
  <c r="X9" i="1"/>
  <c r="R9" i="1"/>
  <c r="Z8" i="1"/>
  <c r="X8" i="1"/>
  <c r="R8" i="1"/>
  <c r="Z7" i="1"/>
  <c r="X7" i="1"/>
  <c r="R7" i="1"/>
  <c r="Z6" i="1"/>
  <c r="X6" i="1"/>
  <c r="R6" i="1"/>
  <c r="Z5" i="1"/>
  <c r="X5" i="1"/>
  <c r="R5" i="1"/>
  <c r="Z4" i="1"/>
  <c r="X4" i="1"/>
  <c r="R4" i="1"/>
  <c r="Z3" i="1"/>
  <c r="X3" i="1"/>
  <c r="R3" i="1"/>
  <c r="Z2" i="1"/>
  <c r="X2" i="1"/>
  <c r="R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8">
    <bk>
      <extLst>
        <ext uri="{3e2802c4-a4d2-4d8b-9148-e3be6c30e623}">
          <xlrd:rvb i="0"/>
        </ext>
      </extLst>
    </bk>
    <bk>
      <extLst>
        <ext uri="{3e2802c4-a4d2-4d8b-9148-e3be6c30e623}">
          <xlrd:rvb i="38"/>
        </ext>
      </extLst>
    </bk>
    <bk>
      <extLst>
        <ext uri="{3e2802c4-a4d2-4d8b-9148-e3be6c30e623}">
          <xlrd:rvb i="74"/>
        </ext>
      </extLst>
    </bk>
    <bk>
      <extLst>
        <ext uri="{3e2802c4-a4d2-4d8b-9148-e3be6c30e623}">
          <xlrd:rvb i="106"/>
        </ext>
      </extLst>
    </bk>
    <bk>
      <extLst>
        <ext uri="{3e2802c4-a4d2-4d8b-9148-e3be6c30e623}">
          <xlrd:rvb i="140"/>
        </ext>
      </extLst>
    </bk>
    <bk>
      <extLst>
        <ext uri="{3e2802c4-a4d2-4d8b-9148-e3be6c30e623}">
          <xlrd:rvb i="174"/>
        </ext>
      </extLst>
    </bk>
    <bk>
      <extLst>
        <ext uri="{3e2802c4-a4d2-4d8b-9148-e3be6c30e623}">
          <xlrd:rvb i="208"/>
        </ext>
      </extLst>
    </bk>
    <bk>
      <extLst>
        <ext uri="{3e2802c4-a4d2-4d8b-9148-e3be6c30e623}">
          <xlrd:rvb i="243"/>
        </ext>
      </extLst>
    </bk>
    <bk>
      <extLst>
        <ext uri="{3e2802c4-a4d2-4d8b-9148-e3be6c30e623}">
          <xlrd:rvb i="277"/>
        </ext>
      </extLst>
    </bk>
    <bk>
      <extLst>
        <ext uri="{3e2802c4-a4d2-4d8b-9148-e3be6c30e623}">
          <xlrd:rvb i="308"/>
        </ext>
      </extLst>
    </bk>
    <bk>
      <extLst>
        <ext uri="{3e2802c4-a4d2-4d8b-9148-e3be6c30e623}">
          <xlrd:rvb i="338"/>
        </ext>
      </extLst>
    </bk>
    <bk>
      <extLst>
        <ext uri="{3e2802c4-a4d2-4d8b-9148-e3be6c30e623}">
          <xlrd:rvb i="361"/>
        </ext>
      </extLst>
    </bk>
    <bk>
      <extLst>
        <ext uri="{3e2802c4-a4d2-4d8b-9148-e3be6c30e623}">
          <xlrd:rvb i="391"/>
        </ext>
      </extLst>
    </bk>
    <bk>
      <extLst>
        <ext uri="{3e2802c4-a4d2-4d8b-9148-e3be6c30e623}">
          <xlrd:rvb i="418"/>
        </ext>
      </extLst>
    </bk>
    <bk>
      <extLst>
        <ext uri="{3e2802c4-a4d2-4d8b-9148-e3be6c30e623}">
          <xlrd:rvb i="447"/>
        </ext>
      </extLst>
    </bk>
    <bk>
      <extLst>
        <ext uri="{3e2802c4-a4d2-4d8b-9148-e3be6c30e623}">
          <xlrd:rvb i="477"/>
        </ext>
      </extLst>
    </bk>
    <bk>
      <extLst>
        <ext uri="{3e2802c4-a4d2-4d8b-9148-e3be6c30e623}">
          <xlrd:rvb i="505"/>
        </ext>
      </extLst>
    </bk>
    <bk>
      <extLst>
        <ext uri="{3e2802c4-a4d2-4d8b-9148-e3be6c30e623}">
          <xlrd:rvb i="535"/>
        </ext>
      </extLst>
    </bk>
    <bk>
      <extLst>
        <ext uri="{3e2802c4-a4d2-4d8b-9148-e3be6c30e623}">
          <xlrd:rvb i="563"/>
        </ext>
      </extLst>
    </bk>
    <bk>
      <extLst>
        <ext uri="{3e2802c4-a4d2-4d8b-9148-e3be6c30e623}">
          <xlrd:rvb i="589"/>
        </ext>
      </extLst>
    </bk>
    <bk>
      <extLst>
        <ext uri="{3e2802c4-a4d2-4d8b-9148-e3be6c30e623}">
          <xlrd:rvb i="616"/>
        </ext>
      </extLst>
    </bk>
    <bk>
      <extLst>
        <ext uri="{3e2802c4-a4d2-4d8b-9148-e3be6c30e623}">
          <xlrd:rvb i="643"/>
        </ext>
      </extLst>
    </bk>
    <bk>
      <extLst>
        <ext uri="{3e2802c4-a4d2-4d8b-9148-e3be6c30e623}">
          <xlrd:rvb i="669"/>
        </ext>
      </extLst>
    </bk>
    <bk>
      <extLst>
        <ext uri="{3e2802c4-a4d2-4d8b-9148-e3be6c30e623}">
          <xlrd:rvb i="696"/>
        </ext>
      </extLst>
    </bk>
    <bk>
      <extLst>
        <ext uri="{3e2802c4-a4d2-4d8b-9148-e3be6c30e623}">
          <xlrd:rvb i="723"/>
        </ext>
      </extLst>
    </bk>
    <bk>
      <extLst>
        <ext uri="{3e2802c4-a4d2-4d8b-9148-e3be6c30e623}">
          <xlrd:rvb i="752"/>
        </ext>
      </extLst>
    </bk>
    <bk>
      <extLst>
        <ext uri="{3e2802c4-a4d2-4d8b-9148-e3be6c30e623}">
          <xlrd:rvb i="779"/>
        </ext>
      </extLst>
    </bk>
    <bk>
      <extLst>
        <ext uri="{3e2802c4-a4d2-4d8b-9148-e3be6c30e623}">
          <xlrd:rvb i="806"/>
        </ext>
      </extLst>
    </bk>
  </futureMetadata>
  <valueMetadata count="2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valueMetadata>
</metadata>
</file>

<file path=xl/sharedStrings.xml><?xml version="1.0" encoding="utf-8"?>
<sst xmlns="http://schemas.openxmlformats.org/spreadsheetml/2006/main" count="4807" uniqueCount="1067">
  <si>
    <t>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</si>
  <si>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</si>
  <si>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</si>
  <si>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</si>
  <si>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</si>
  <si>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</si>
  <si>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</si>
  <si>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</si>
  <si>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</si>
  <si>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</si>
  <si>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</si>
  <si>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</si>
  <si>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</si>
  <si>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</si>
  <si>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</si>
  <si>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</si>
  <si>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</si>
  <si>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Age</t>
  </si>
  <si>
    <t>MaritalDesc</t>
  </si>
  <si>
    <t>CitizenDesc</t>
  </si>
  <si>
    <t>HispanicLatino</t>
  </si>
  <si>
    <t>RaceDesc</t>
  </si>
  <si>
    <t>DateofHire</t>
  </si>
  <si>
    <t>YearsAtCompany</t>
  </si>
  <si>
    <t>DateofTermination</t>
  </si>
  <si>
    <t>DaysUntilTermination</t>
  </si>
  <si>
    <t>EmploymentStatus</t>
  </si>
  <si>
    <t>Department</t>
  </si>
  <si>
    <t>ManagerName</t>
  </si>
  <si>
    <t>ManagerID</t>
  </si>
  <si>
    <t>RecruitmentSource</t>
  </si>
  <si>
    <t>PerformanceScore</t>
  </si>
  <si>
    <t>EngagementSurvey</t>
  </si>
  <si>
    <t>EmpSatisfaction</t>
  </si>
  <si>
    <t>SpecialProjectsCount</t>
  </si>
  <si>
    <t>LastPerformanceReview_Date</t>
  </si>
  <si>
    <t>DaysLateLast30</t>
  </si>
  <si>
    <t>Absences</t>
  </si>
  <si>
    <t>Adinolfi, Wilson  K</t>
  </si>
  <si>
    <t>Production Technician I</t>
  </si>
  <si>
    <t>1985-07-09</t>
  </si>
  <si>
    <t xml:space="preserve">M </t>
  </si>
  <si>
    <t>Single</t>
  </si>
  <si>
    <t>US Citizen</t>
  </si>
  <si>
    <t>No</t>
  </si>
  <si>
    <t>White</t>
  </si>
  <si>
    <t>2018-12-30</t>
  </si>
  <si>
    <t>Active</t>
  </si>
  <si>
    <t xml:space="preserve">Production       </t>
  </si>
  <si>
    <t>Michael Albert</t>
  </si>
  <si>
    <t>LinkedIn</t>
  </si>
  <si>
    <t>Exceeds</t>
  </si>
  <si>
    <t>2026-07-14</t>
  </si>
  <si>
    <t xml:space="preserve">Ait Sidi, Karthikeyan   </t>
  </si>
  <si>
    <t>Sr. DBA</t>
  </si>
  <si>
    <t>1976-05-04</t>
  </si>
  <si>
    <t>Married</t>
  </si>
  <si>
    <t>2022-09-24</t>
  </si>
  <si>
    <t>2027-07-19</t>
  </si>
  <si>
    <t>Contract Ending</t>
  </si>
  <si>
    <t>IT/IS</t>
  </si>
  <si>
    <t>Simon Roup</t>
  </si>
  <si>
    <t>Indeed</t>
  </si>
  <si>
    <t>Fully Meets</t>
  </si>
  <si>
    <t>2023-08-21</t>
  </si>
  <si>
    <t>Akinkuolie, Sarah</t>
  </si>
  <si>
    <t>Production Technician II</t>
  </si>
  <si>
    <t>1993-09-18</t>
  </si>
  <si>
    <t>F</t>
  </si>
  <si>
    <t>2027-06-25</t>
  </si>
  <si>
    <t>Kissy Sullivan</t>
  </si>
  <si>
    <t>2019-11-10</t>
  </si>
  <si>
    <t>Alagbe,Trina</t>
  </si>
  <si>
    <t>1992-09-26</t>
  </si>
  <si>
    <t>2015-07-04</t>
  </si>
  <si>
    <t>Elijiah Gray</t>
  </si>
  <si>
    <t>2026-06-30</t>
  </si>
  <si>
    <t xml:space="preserve">Anderson, Carol </t>
  </si>
  <si>
    <t>1993-09-07</t>
  </si>
  <si>
    <t>Divorced</t>
  </si>
  <si>
    <t>2019-01-05</t>
  </si>
  <si>
    <t>2026-12-22</t>
  </si>
  <si>
    <t>Webster Butler</t>
  </si>
  <si>
    <t>Google Search</t>
  </si>
  <si>
    <t>2023-07-29</t>
  </si>
  <si>
    <t xml:space="preserve">Anderson, Linda  </t>
  </si>
  <si>
    <t>1980-05-21</t>
  </si>
  <si>
    <t>2019-07-06</t>
  </si>
  <si>
    <t>Amy Dunn</t>
  </si>
  <si>
    <t>2026-07-04</t>
  </si>
  <si>
    <t>Andreola, Colby</t>
  </si>
  <si>
    <t>Software Engineer</t>
  </si>
  <si>
    <t>1981-05-23</t>
  </si>
  <si>
    <t>2022-05-07</t>
  </si>
  <si>
    <t>Software Engineering</t>
  </si>
  <si>
    <t>Alex Sweetwater</t>
  </si>
  <si>
    <t>2026-06-29</t>
  </si>
  <si>
    <t>Athwal, Sam</t>
  </si>
  <si>
    <t>1992-02-16</t>
  </si>
  <si>
    <t>Widowed</t>
  </si>
  <si>
    <t>2021-03-27</t>
  </si>
  <si>
    <t>Ketsia Liebig</t>
  </si>
  <si>
    <t>Employee Referral</t>
  </si>
  <si>
    <t>2026-08-22</t>
  </si>
  <si>
    <t>Bachiochi, Linda</t>
  </si>
  <si>
    <t>1972-02-11</t>
  </si>
  <si>
    <t>Black or African American</t>
  </si>
  <si>
    <t>2016-12-31</t>
  </si>
  <si>
    <t>Brannon Miller</t>
  </si>
  <si>
    <t>Diversity Job Fair</t>
  </si>
  <si>
    <t>2026-07-22</t>
  </si>
  <si>
    <t xml:space="preserve">Bacong, Alejandro </t>
  </si>
  <si>
    <t>IT Support</t>
  </si>
  <si>
    <t>1998-01-04</t>
  </si>
  <si>
    <t>2022-07-02</t>
  </si>
  <si>
    <t>Peter Monroe</t>
  </si>
  <si>
    <t>2026-08-15</t>
  </si>
  <si>
    <t xml:space="preserve">Baczenski, Rachael  </t>
  </si>
  <si>
    <t>1981-01-10</t>
  </si>
  <si>
    <t>Yes</t>
  </si>
  <si>
    <t>2018-07-07</t>
  </si>
  <si>
    <t>2028-02-04</t>
  </si>
  <si>
    <t>David Stanley</t>
  </si>
  <si>
    <t>2023-07-27</t>
  </si>
  <si>
    <t>Barbara, Thomas</t>
  </si>
  <si>
    <t>1975-02-21</t>
  </si>
  <si>
    <t>2019-09-28</t>
  </si>
  <si>
    <t>2026-12-01</t>
  </si>
  <si>
    <t>2023-11-01</t>
  </si>
  <si>
    <t>Barbossa, Hector</t>
  </si>
  <si>
    <t>Data Analyst</t>
  </si>
  <si>
    <t>1989-07-04</t>
  </si>
  <si>
    <t>Barone, Francesco  A</t>
  </si>
  <si>
    <t>1985-07-19</t>
  </si>
  <si>
    <t>Two or more races</t>
  </si>
  <si>
    <t>2019-08-17</t>
  </si>
  <si>
    <t>Kelley Spirea</t>
  </si>
  <si>
    <t>2026-08-11</t>
  </si>
  <si>
    <t>Barton, Nader</t>
  </si>
  <si>
    <t>1981-07-14</t>
  </si>
  <si>
    <t>2020-03-21</t>
  </si>
  <si>
    <t>2027-01-22</t>
  </si>
  <si>
    <t>On-line Web application</t>
  </si>
  <si>
    <t>2024-08-27</t>
  </si>
  <si>
    <t>Bates, Norman</t>
  </si>
  <si>
    <t>1985-10-17</t>
  </si>
  <si>
    <t>2018-08-18</t>
  </si>
  <si>
    <t>2027-02-10</t>
  </si>
  <si>
    <t>2024-09-30</t>
  </si>
  <si>
    <t xml:space="preserve">Beak, Kimberly  </t>
  </si>
  <si>
    <t>1975-04-15</t>
  </si>
  <si>
    <t>2024-01-16</t>
  </si>
  <si>
    <t>2026-07-11</t>
  </si>
  <si>
    <t xml:space="preserve">Beatrice, Courtney </t>
  </si>
  <si>
    <t>1980-10-24</t>
  </si>
  <si>
    <t>Eligible NonCitizen</t>
  </si>
  <si>
    <t>2018-09-29</t>
  </si>
  <si>
    <t>Becker, Renee</t>
  </si>
  <si>
    <t>Database Administrator</t>
  </si>
  <si>
    <t>1987-04-04</t>
  </si>
  <si>
    <t>2022-01-01</t>
  </si>
  <si>
    <t>2026-10-15</t>
  </si>
  <si>
    <t>2022-07-12</t>
  </si>
  <si>
    <t>Becker, Scott</t>
  </si>
  <si>
    <t>1988-04-03</t>
  </si>
  <si>
    <t>Asian</t>
  </si>
  <si>
    <t>2021-01-02</t>
  </si>
  <si>
    <t>2026-07-08</t>
  </si>
  <si>
    <t>Bernstein, Sean</t>
  </si>
  <si>
    <t>1974-12-21</t>
  </si>
  <si>
    <t>Biden, Lowan  M</t>
  </si>
  <si>
    <t>1967-12-25</t>
  </si>
  <si>
    <t>2021-02-13</t>
  </si>
  <si>
    <t>2026-07-07</t>
  </si>
  <si>
    <t>Billis, Helen</t>
  </si>
  <si>
    <t>1996-08-30</t>
  </si>
  <si>
    <t>2026-08-24</t>
  </si>
  <si>
    <t>Blount, Dianna</t>
  </si>
  <si>
    <t>1994-09-20</t>
  </si>
  <si>
    <t>CareerBuilder</t>
  </si>
  <si>
    <t>Needs Improvement</t>
  </si>
  <si>
    <t>Bondwell, Betsy</t>
  </si>
  <si>
    <t>1975-01-14</t>
  </si>
  <si>
    <t>2028-07-18</t>
  </si>
  <si>
    <t>2021-08-29</t>
  </si>
  <si>
    <t>Booth, Frank</t>
  </si>
  <si>
    <t>Enterprise Architect</t>
  </si>
  <si>
    <t>1974-07-28</t>
  </si>
  <si>
    <t>2021-08-14</t>
  </si>
  <si>
    <t>2026-08-28</t>
  </si>
  <si>
    <t>2023-07-07</t>
  </si>
  <si>
    <t>Boutwell, Bonalyn</t>
  </si>
  <si>
    <t>Sr. Accountant</t>
  </si>
  <si>
    <t>1992-04-02</t>
  </si>
  <si>
    <t>2022-08-13</t>
  </si>
  <si>
    <t>Admin Offices</t>
  </si>
  <si>
    <t>Brandon R. LeBlanc</t>
  </si>
  <si>
    <t>Bozzi, Charles</t>
  </si>
  <si>
    <t>Production Manager</t>
  </si>
  <si>
    <t>1971-03-10</t>
  </si>
  <si>
    <t>2027-02-13</t>
  </si>
  <si>
    <t>Janet King</t>
  </si>
  <si>
    <t>2021-08-17</t>
  </si>
  <si>
    <t>Brill, Donna</t>
  </si>
  <si>
    <t>1993-08-23</t>
  </si>
  <si>
    <t>2028-06-16</t>
  </si>
  <si>
    <t>2020-08-29</t>
  </si>
  <si>
    <t>Brown, Mia</t>
  </si>
  <si>
    <t>Accountant I</t>
  </si>
  <si>
    <t>1994-11-22</t>
  </si>
  <si>
    <t>2016-04-23</t>
  </si>
  <si>
    <t>2026-07-12</t>
  </si>
  <si>
    <t xml:space="preserve">Buccheri, Joseph  </t>
  </si>
  <si>
    <t>1989-07-26</t>
  </si>
  <si>
    <t>2022-03-26</t>
  </si>
  <si>
    <t>2026-07-29</t>
  </si>
  <si>
    <t xml:space="preserve">Bugali, Josephine </t>
  </si>
  <si>
    <t>1974-10-29</t>
  </si>
  <si>
    <t>Separated</t>
  </si>
  <si>
    <t>2021-05-08</t>
  </si>
  <si>
    <t>2026-07-18</t>
  </si>
  <si>
    <t>Bunbury, Jessica</t>
  </si>
  <si>
    <t>Area Sales Manager</t>
  </si>
  <si>
    <t>1967-06-01</t>
  </si>
  <si>
    <t>2019-02-09</t>
  </si>
  <si>
    <t>2027-06-28</t>
  </si>
  <si>
    <t>Sales</t>
  </si>
  <si>
    <t>John Smith</t>
  </si>
  <si>
    <t>2020-08-07</t>
  </si>
  <si>
    <t>Burke, Joelle</t>
  </si>
  <si>
    <t>1984-03-01</t>
  </si>
  <si>
    <t>2019-08-31</t>
  </si>
  <si>
    <t>2026-08-18</t>
  </si>
  <si>
    <t xml:space="preserve">Burkett, Benjamin </t>
  </si>
  <si>
    <t>1983-08-18</t>
  </si>
  <si>
    <t xml:space="preserve">Cady, Max </t>
  </si>
  <si>
    <t>Software Engineering Manager</t>
  </si>
  <si>
    <t>1968-11-21</t>
  </si>
  <si>
    <t>Jennifer Zamora</t>
  </si>
  <si>
    <t>Candie, Calvin</t>
  </si>
  <si>
    <t>1985-08-08</t>
  </si>
  <si>
    <t>2023-07-25</t>
  </si>
  <si>
    <t>2026-08-19</t>
  </si>
  <si>
    <t>Carabbio, Judith</t>
  </si>
  <si>
    <t>1994-04-03</t>
  </si>
  <si>
    <t>2026-07-27</t>
  </si>
  <si>
    <t xml:space="preserve">Carey, Michael  </t>
  </si>
  <si>
    <t>1985-02-01</t>
  </si>
  <si>
    <t>2021-09-25</t>
  </si>
  <si>
    <t>Carr, Claudia  N</t>
  </si>
  <si>
    <t>1992-06-04</t>
  </si>
  <si>
    <t>2023-12-26</t>
  </si>
  <si>
    <t xml:space="preserve">Carter, Michelle </t>
  </si>
  <si>
    <t>1969-05-13</t>
  </si>
  <si>
    <t>2022-02-12</t>
  </si>
  <si>
    <t xml:space="preserve">Chace, Beatrice </t>
  </si>
  <si>
    <t>1960-12-30</t>
  </si>
  <si>
    <t>2026-08-09</t>
  </si>
  <si>
    <t>Champaigne, Brian</t>
  </si>
  <si>
    <t>BI Director</t>
  </si>
  <si>
    <t>1977-02-07</t>
  </si>
  <si>
    <t>2024-03-03</t>
  </si>
  <si>
    <t>Chan, Lin</t>
  </si>
  <si>
    <t>1980-02-12</t>
  </si>
  <si>
    <t>2021-11-06</t>
  </si>
  <si>
    <t>2026-08-16</t>
  </si>
  <si>
    <t>Chang, Donovan  E</t>
  </si>
  <si>
    <t>1991-08-22</t>
  </si>
  <si>
    <t>Chigurh, Anton</t>
  </si>
  <si>
    <t>1979-06-09</t>
  </si>
  <si>
    <t>2019-11-09</t>
  </si>
  <si>
    <t>Lynn Daneault</t>
  </si>
  <si>
    <t>2026-07-16</t>
  </si>
  <si>
    <t>Chivukula, Enola</t>
  </si>
  <si>
    <t>1985-08-26</t>
  </si>
  <si>
    <t>2018-12-22</t>
  </si>
  <si>
    <t>2027-11-26</t>
  </si>
  <si>
    <t>2022-09-04</t>
  </si>
  <si>
    <t xml:space="preserve">Cierpiszewski, Caroline  </t>
  </si>
  <si>
    <t>1995-05-30</t>
  </si>
  <si>
    <t>Non-Citizen</t>
  </si>
  <si>
    <t>2019-03-30</t>
  </si>
  <si>
    <t>Clayton, Rick</t>
  </si>
  <si>
    <t>1987-09-05</t>
  </si>
  <si>
    <t>2020-03-02</t>
  </si>
  <si>
    <t>Eric Dougall</t>
  </si>
  <si>
    <t>Cloninger, Jennifer</t>
  </si>
  <si>
    <t>1990-08-29</t>
  </si>
  <si>
    <t>2018-11-10</t>
  </si>
  <si>
    <t>2028-05-01</t>
  </si>
  <si>
    <t>2019-10-29</t>
  </si>
  <si>
    <t>Close, Phil</t>
  </si>
  <si>
    <t>1983-11-24</t>
  </si>
  <si>
    <t>2018-02-24</t>
  </si>
  <si>
    <t>2028-05-18</t>
  </si>
  <si>
    <t>2018-10-29</t>
  </si>
  <si>
    <t>Clukey, Elijian</t>
  </si>
  <si>
    <t>1990-08-24</t>
  </si>
  <si>
    <t>2024-01-01</t>
  </si>
  <si>
    <t>2026-08-25</t>
  </si>
  <si>
    <t>Cockel, James</t>
  </si>
  <si>
    <t>1983-09-07</t>
  </si>
  <si>
    <t>Cole, Spencer</t>
  </si>
  <si>
    <t>1989-08-09</t>
  </si>
  <si>
    <t>2027-12-04</t>
  </si>
  <si>
    <t>2023-10-27</t>
  </si>
  <si>
    <t>Corleone, Michael</t>
  </si>
  <si>
    <t>1979-12-16</t>
  </si>
  <si>
    <t>2018-01-14</t>
  </si>
  <si>
    <t>Corleone, Vito</t>
  </si>
  <si>
    <t>Director of Operations</t>
  </si>
  <si>
    <t>1985-03-18</t>
  </si>
  <si>
    <t>2016-07-02</t>
  </si>
  <si>
    <t>2026-08-01</t>
  </si>
  <si>
    <t xml:space="preserve">Cornett, Lisa </t>
  </si>
  <si>
    <t>1978-03-31</t>
  </si>
  <si>
    <t>Costello, Frank</t>
  </si>
  <si>
    <t>1990-08-25</t>
  </si>
  <si>
    <t>2026-07-19</t>
  </si>
  <si>
    <t>Crimmings,   Jean</t>
  </si>
  <si>
    <t>1992-04-08</t>
  </si>
  <si>
    <t>2026-07-25</t>
  </si>
  <si>
    <t>Cross, Noah</t>
  </si>
  <si>
    <t>Sr. Network Engineer</t>
  </si>
  <si>
    <t>1967-09-09</t>
  </si>
  <si>
    <t>Daneault, Lynn</t>
  </si>
  <si>
    <t>Sales Manager</t>
  </si>
  <si>
    <t>1994-04-18</t>
  </si>
  <si>
    <t>2021-10-30</t>
  </si>
  <si>
    <t>Debra Houlihan</t>
  </si>
  <si>
    <t>2026-07-21</t>
  </si>
  <si>
    <t xml:space="preserve">Daniele, Ann  </t>
  </si>
  <si>
    <t>1954-01-17</t>
  </si>
  <si>
    <t xml:space="preserve">Darson, Jene'ya </t>
  </si>
  <si>
    <t>1985-11-03</t>
  </si>
  <si>
    <t>2019-12-28</t>
  </si>
  <si>
    <t>Davis, Daniel</t>
  </si>
  <si>
    <t>1984-09-12</t>
  </si>
  <si>
    <t>2019-05-04</t>
  </si>
  <si>
    <t>Dee, Randy</t>
  </si>
  <si>
    <t>1996-04-13</t>
  </si>
  <si>
    <t>2026-01-03</t>
  </si>
  <si>
    <t>2026-07-28</t>
  </si>
  <si>
    <t>DeGweck,  James</t>
  </si>
  <si>
    <t>1983-10-30</t>
  </si>
  <si>
    <t>2026-08-31</t>
  </si>
  <si>
    <t>2023-09-28</t>
  </si>
  <si>
    <t>Del Bosque, Keyla</t>
  </si>
  <si>
    <t>1982-07-04</t>
  </si>
  <si>
    <t>Delarge, Alex</t>
  </si>
  <si>
    <t>1981-10-31</t>
  </si>
  <si>
    <t>PIP</t>
  </si>
  <si>
    <t>Demita, Carla</t>
  </si>
  <si>
    <t>1957-02-23</t>
  </si>
  <si>
    <t>2028-02-29</t>
  </si>
  <si>
    <t>2022-10-31</t>
  </si>
  <si>
    <t xml:space="preserve">Desimone, Carl </t>
  </si>
  <si>
    <t>1971-04-18</t>
  </si>
  <si>
    <t>DeVito, Tommy</t>
  </si>
  <si>
    <t>BI Developer</t>
  </si>
  <si>
    <t>1988-09-02</t>
  </si>
  <si>
    <t>2024-08-12</t>
  </si>
  <si>
    <t>Brian Champaigne</t>
  </si>
  <si>
    <t>2026-07-20</t>
  </si>
  <si>
    <t xml:space="preserve">Dickinson, Geoff </t>
  </si>
  <si>
    <t>1984-11-14</t>
  </si>
  <si>
    <t xml:space="preserve">Dietrich, Jenna  </t>
  </si>
  <si>
    <t>1997-05-11</t>
  </si>
  <si>
    <t>Website</t>
  </si>
  <si>
    <t>2026-07-26</t>
  </si>
  <si>
    <t xml:space="preserve">DiNocco, Lily </t>
  </si>
  <si>
    <t>1981-12-01</t>
  </si>
  <si>
    <t>2020-07-04</t>
  </si>
  <si>
    <t>2026-07-15</t>
  </si>
  <si>
    <t>Dobrin, Denisa  S</t>
  </si>
  <si>
    <t>1995-10-05</t>
  </si>
  <si>
    <t>Dolan, Linda</t>
  </si>
  <si>
    <t>1992-07-17</t>
  </si>
  <si>
    <t>Dougall, Eric</t>
  </si>
  <si>
    <t>IT Manager - Support</t>
  </si>
  <si>
    <t>1973-07-08</t>
  </si>
  <si>
    <t>2021-07-02</t>
  </si>
  <si>
    <t>2026-07-01</t>
  </si>
  <si>
    <t>Driver, Elle</t>
  </si>
  <si>
    <t>1996-11-06</t>
  </si>
  <si>
    <t>2026-07-24</t>
  </si>
  <si>
    <t xml:space="preserve">Dunn, Amy  </t>
  </si>
  <si>
    <t>1980-11-26</t>
  </si>
  <si>
    <t>2022-03-15</t>
  </si>
  <si>
    <t>Dunne, Amy</t>
  </si>
  <si>
    <t>1978-09-22</t>
  </si>
  <si>
    <t>2017-10-21</t>
  </si>
  <si>
    <t>Eaton, Marianne</t>
  </si>
  <si>
    <t>2000-09-02</t>
  </si>
  <si>
    <t>2027-10-15</t>
  </si>
  <si>
    <t>2024-10-04</t>
  </si>
  <si>
    <t>Engdahl, Jean</t>
  </si>
  <si>
    <t>1978-05-30</t>
  </si>
  <si>
    <t>2026-08-10</t>
  </si>
  <si>
    <t>England, Rex</t>
  </si>
  <si>
    <t>1984-08-23</t>
  </si>
  <si>
    <t>Erilus, Angela</t>
  </si>
  <si>
    <t>Estremera, Miguel</t>
  </si>
  <si>
    <t>1987-09-01</t>
  </si>
  <si>
    <t>2025-10-07</t>
  </si>
  <si>
    <t>Evensen, April</t>
  </si>
  <si>
    <t>1990-05-06</t>
  </si>
  <si>
    <t>2027-08-06</t>
  </si>
  <si>
    <t>2024-07-12</t>
  </si>
  <si>
    <t>Exantus, Susan</t>
  </si>
  <si>
    <t>1993-05-13</t>
  </si>
  <si>
    <t>2018-10-27</t>
  </si>
  <si>
    <t>2028-06-09</t>
  </si>
  <si>
    <t>2020-02-05</t>
  </si>
  <si>
    <t xml:space="preserve">Faller, Megan </t>
  </si>
  <si>
    <t>1985-09-20</t>
  </si>
  <si>
    <t>Fancett, Nicole</t>
  </si>
  <si>
    <t>1992-09-25</t>
  </si>
  <si>
    <t>Ferguson, Susan</t>
  </si>
  <si>
    <t>1957-04-13</t>
  </si>
  <si>
    <t>2028-02-18</t>
  </si>
  <si>
    <t>2023-08-01</t>
  </si>
  <si>
    <t xml:space="preserve">Fernandes, Nilson  </t>
  </si>
  <si>
    <t>1993-10-17</t>
  </si>
  <si>
    <t>2022-11-05</t>
  </si>
  <si>
    <t>Fett, Boba</t>
  </si>
  <si>
    <t>Network Engineer</t>
  </si>
  <si>
    <t>1997-06-15</t>
  </si>
  <si>
    <t>Fidelia,  Libby</t>
  </si>
  <si>
    <t>1987-03-15</t>
  </si>
  <si>
    <t>Fitzpatrick, Michael  J</t>
  </si>
  <si>
    <t>1985-09-30</t>
  </si>
  <si>
    <t>2028-01-24</t>
  </si>
  <si>
    <t>2020-09-30</t>
  </si>
  <si>
    <t>Foreman, Tanya</t>
  </si>
  <si>
    <t>1991-11-06</t>
  </si>
  <si>
    <t>2027-01-08</t>
  </si>
  <si>
    <t>2019-07-04</t>
  </si>
  <si>
    <t>Forrest, Alex</t>
  </si>
  <si>
    <t>1982-07-05</t>
  </si>
  <si>
    <t>2028-08-20</t>
  </si>
  <si>
    <t>Foss, Jason</t>
  </si>
  <si>
    <t>IT Director</t>
  </si>
  <si>
    <t>1988-07-03</t>
  </si>
  <si>
    <t>2018-10-10</t>
  </si>
  <si>
    <t>Foster-Baker, Amy</t>
  </si>
  <si>
    <t>1982-04-15</t>
  </si>
  <si>
    <t>Board of Directors</t>
  </si>
  <si>
    <t>Other</t>
  </si>
  <si>
    <t>2026-08-05</t>
  </si>
  <si>
    <t xml:space="preserve">Fraval, Maruk </t>
  </si>
  <si>
    <t>1968-08-26</t>
  </si>
  <si>
    <t>2019-03-03</t>
  </si>
  <si>
    <t>Galia, Lisa</t>
  </si>
  <si>
    <t>1971-07-06</t>
  </si>
  <si>
    <t>2017-10-26</t>
  </si>
  <si>
    <t>Garcia, Raul</t>
  </si>
  <si>
    <t>1989-09-14</t>
  </si>
  <si>
    <t>Gaul, Barbara</t>
  </si>
  <si>
    <t>1992-11-29</t>
  </si>
  <si>
    <t>2026-08-23</t>
  </si>
  <si>
    <t>Gentry, Mildred</t>
  </si>
  <si>
    <t>1999-09-29</t>
  </si>
  <si>
    <t>2026-07-13</t>
  </si>
  <si>
    <t>Gerke, Melisa</t>
  </si>
  <si>
    <t>1975-05-14</t>
  </si>
  <si>
    <t>2028-12-10</t>
  </si>
  <si>
    <t>2023-10-25</t>
  </si>
  <si>
    <t xml:space="preserve">Gill, Whitney  </t>
  </si>
  <si>
    <t>1981-07-07</t>
  </si>
  <si>
    <t>2028-08-16</t>
  </si>
  <si>
    <t>2021-07-12</t>
  </si>
  <si>
    <t>Gilles, Alex</t>
  </si>
  <si>
    <t>1981-08-07</t>
  </si>
  <si>
    <t>2027-06-18</t>
  </si>
  <si>
    <t>2022-07-17</t>
  </si>
  <si>
    <t>Girifalco, Evelyn</t>
  </si>
  <si>
    <t>2026-08-04</t>
  </si>
  <si>
    <t>Givens, Myriam</t>
  </si>
  <si>
    <t>1996-09-20</t>
  </si>
  <si>
    <t>Goble, Taisha</t>
  </si>
  <si>
    <t>1977-10-21</t>
  </si>
  <si>
    <t>2028-09-20</t>
  </si>
  <si>
    <t>Goeth, Amon</t>
  </si>
  <si>
    <t>1993-11-23</t>
  </si>
  <si>
    <t xml:space="preserve">Gold, Shenice  </t>
  </si>
  <si>
    <t>1995-06-18</t>
  </si>
  <si>
    <t>Gonzalez, Cayo</t>
  </si>
  <si>
    <t>1978-09-27</t>
  </si>
  <si>
    <t>Gonzalez, Juan</t>
  </si>
  <si>
    <t>1972-10-10</t>
  </si>
  <si>
    <t>2027-07-03</t>
  </si>
  <si>
    <t>2018-08-31</t>
  </si>
  <si>
    <t>Gonzalez, Maria</t>
  </si>
  <si>
    <t>1983-04-16</t>
  </si>
  <si>
    <t>Good, Susan</t>
  </si>
  <si>
    <t>1987-05-25</t>
  </si>
  <si>
    <t>Gordon, David</t>
  </si>
  <si>
    <t>1981-05-20</t>
  </si>
  <si>
    <t xml:space="preserve">Gosciminski, Phylicia  </t>
  </si>
  <si>
    <t>1986-12-07</t>
  </si>
  <si>
    <t>American Indian or Alaska Native</t>
  </si>
  <si>
    <t>Goyal, Roxana</t>
  </si>
  <si>
    <t>1977-10-08</t>
  </si>
  <si>
    <t>2026-08-12</t>
  </si>
  <si>
    <t xml:space="preserve">Gray, Elijiah  </t>
  </si>
  <si>
    <t>1988-07-09</t>
  </si>
  <si>
    <t>2022-11-27</t>
  </si>
  <si>
    <t>Gross, Paula</t>
  </si>
  <si>
    <t>1993-05-18</t>
  </si>
  <si>
    <t>2028-10-30</t>
  </si>
  <si>
    <t>2020-11-28</t>
  </si>
  <si>
    <t>Gruber, Hans</t>
  </si>
  <si>
    <t>1991-06-30</t>
  </si>
  <si>
    <t>2024-10-15</t>
  </si>
  <si>
    <t>Guilianno, Mike</t>
  </si>
  <si>
    <t>1976-02-08</t>
  </si>
  <si>
    <t>2019-09-02</t>
  </si>
  <si>
    <t>2028-04-29</t>
  </si>
  <si>
    <t>2020-07-29</t>
  </si>
  <si>
    <t>Handschiegl, Joanne</t>
  </si>
  <si>
    <t>1984-03-21</t>
  </si>
  <si>
    <t>2019-05-25</t>
  </si>
  <si>
    <t>Hankard, Earnest</t>
  </si>
  <si>
    <t>1998-08-08</t>
  </si>
  <si>
    <t>2026-07-05</t>
  </si>
  <si>
    <t xml:space="preserve">Harrington, Christie </t>
  </si>
  <si>
    <t>1960-08-16</t>
  </si>
  <si>
    <t>2027-01-04</t>
  </si>
  <si>
    <t>2022-10-27</t>
  </si>
  <si>
    <t>Harrison, Kara</t>
  </si>
  <si>
    <t>1983-04-30</t>
  </si>
  <si>
    <t>Heitzman, Anthony</t>
  </si>
  <si>
    <t>1989-01-02</t>
  </si>
  <si>
    <t>2020-02-08</t>
  </si>
  <si>
    <t>2026-08-08</t>
  </si>
  <si>
    <t>Hendrickson, Trina</t>
  </si>
  <si>
    <t>1981-08-25</t>
  </si>
  <si>
    <t>2026-11-03</t>
  </si>
  <si>
    <t>2020-07-27</t>
  </si>
  <si>
    <t>Hitchcock, Alfred</t>
  </si>
  <si>
    <t>Homberger, Adrienne  J</t>
  </si>
  <si>
    <t>1986-02-15</t>
  </si>
  <si>
    <t>2027-09-16</t>
  </si>
  <si>
    <t>Horton, Jayne</t>
  </si>
  <si>
    <t>1993-02-18</t>
  </si>
  <si>
    <t>Houlihan, Debra</t>
  </si>
  <si>
    <t>Director of Sales</t>
  </si>
  <si>
    <t>1971-03-16</t>
  </si>
  <si>
    <t>Howard, Estelle</t>
  </si>
  <si>
    <t>Administrative Assistant</t>
  </si>
  <si>
    <t>1991-09-15</t>
  </si>
  <si>
    <t>2028-04-07</t>
  </si>
  <si>
    <t>2022-10-10</t>
  </si>
  <si>
    <t>Hudson, Jane</t>
  </si>
  <si>
    <t>1988-06-09</t>
  </si>
  <si>
    <t>Hunts, Julissa</t>
  </si>
  <si>
    <t>1989-03-10</t>
  </si>
  <si>
    <t>2023-12-02</t>
  </si>
  <si>
    <t>Hutter, Rosalie</t>
  </si>
  <si>
    <t>1999-05-06</t>
  </si>
  <si>
    <t>2022-11-30</t>
  </si>
  <si>
    <t>Huynh, Ming</t>
  </si>
  <si>
    <t>1979-09-22</t>
  </si>
  <si>
    <t>Immediato, Walter</t>
  </si>
  <si>
    <t>1984-11-13</t>
  </si>
  <si>
    <t>2028-10-18</t>
  </si>
  <si>
    <t>2019-10-08</t>
  </si>
  <si>
    <t xml:space="preserve">Ivey, Rose </t>
  </si>
  <si>
    <t>1992-01-28</t>
  </si>
  <si>
    <t>Jackson, Maryellen</t>
  </si>
  <si>
    <t>1977-09-10</t>
  </si>
  <si>
    <t>2020-05-02</t>
  </si>
  <si>
    <t xml:space="preserve">Jacobi, Hannah  </t>
  </si>
  <si>
    <t>1975-03-20</t>
  </si>
  <si>
    <t>Jeannite, Tayana</t>
  </si>
  <si>
    <t>1989-11-05</t>
  </si>
  <si>
    <t xml:space="preserve">Jhaveri, Sneha  </t>
  </si>
  <si>
    <t>1973-04-11</t>
  </si>
  <si>
    <t>2021-07-03</t>
  </si>
  <si>
    <t>Johnson, George</t>
  </si>
  <si>
    <t>1961-08-18</t>
  </si>
  <si>
    <t>2028-01-02</t>
  </si>
  <si>
    <t>2025-08-11</t>
  </si>
  <si>
    <t xml:space="preserve">Johnson, Noelle </t>
  </si>
  <si>
    <t>Johnston, Yen</t>
  </si>
  <si>
    <t>1978-09-06</t>
  </si>
  <si>
    <t xml:space="preserve">Jung, Judy  </t>
  </si>
  <si>
    <t>1996-04-14</t>
  </si>
  <si>
    <t>2027-05-13</t>
  </si>
  <si>
    <t>2023-07-31</t>
  </si>
  <si>
    <t>Kampew, Donysha</t>
  </si>
  <si>
    <t>1993-11-10</t>
  </si>
  <si>
    <t>2020-09-24</t>
  </si>
  <si>
    <t xml:space="preserve">Keatts, Kramer </t>
  </si>
  <si>
    <t>1979-01-18</t>
  </si>
  <si>
    <t>Khemmich, Bartholemew</t>
  </si>
  <si>
    <t>1985-11-25</t>
  </si>
  <si>
    <t>King, Janet</t>
  </si>
  <si>
    <t>President &amp; CEO</t>
  </si>
  <si>
    <t>1957-09-20</t>
  </si>
  <si>
    <t>Executive Office</t>
  </si>
  <si>
    <t xml:space="preserve">Kinsella, Kathleen  </t>
  </si>
  <si>
    <t>1982-12-06</t>
  </si>
  <si>
    <t>2019-03-23</t>
  </si>
  <si>
    <t>2028-06-03</t>
  </si>
  <si>
    <t>2022-08-26</t>
  </si>
  <si>
    <t xml:space="preserve">Kirill, Alexandra  </t>
  </si>
  <si>
    <t>1979-10-06</t>
  </si>
  <si>
    <t>2027-11-24</t>
  </si>
  <si>
    <t>Knapp, Bradley  J</t>
  </si>
  <si>
    <t>1978-11-10</t>
  </si>
  <si>
    <t>2026-08-03</t>
  </si>
  <si>
    <t>Kretschmer, John</t>
  </si>
  <si>
    <t>1990-01-30</t>
  </si>
  <si>
    <t>Kreuger, Freddy</t>
  </si>
  <si>
    <t>1975-02-23</t>
  </si>
  <si>
    <t>2018-09-01</t>
  </si>
  <si>
    <t>Lajiri,  Jyoti</t>
  </si>
  <si>
    <t>1994-04-21</t>
  </si>
  <si>
    <t>Landa, Hans</t>
  </si>
  <si>
    <t>1973-07-01</t>
  </si>
  <si>
    <t>2028-04-24</t>
  </si>
  <si>
    <t>2022-08-12</t>
  </si>
  <si>
    <t>Langford, Lindsey</t>
  </si>
  <si>
    <t>1981-07-24</t>
  </si>
  <si>
    <t>2028-08-02</t>
  </si>
  <si>
    <t>Langton, Enrico</t>
  </si>
  <si>
    <t>1992-12-07</t>
  </si>
  <si>
    <t>2020-01-04</t>
  </si>
  <si>
    <t xml:space="preserve">LaRotonda, William  </t>
  </si>
  <si>
    <t>1989-04-25</t>
  </si>
  <si>
    <t>Latif, Mohammed</t>
  </si>
  <si>
    <t>1988-05-08</t>
  </si>
  <si>
    <t>2026-08-29</t>
  </si>
  <si>
    <t>2020-08-17</t>
  </si>
  <si>
    <t>Le, Binh</t>
  </si>
  <si>
    <t>Senior BI Developer</t>
  </si>
  <si>
    <t>1988-06-13</t>
  </si>
  <si>
    <t>2024-03-29</t>
  </si>
  <si>
    <t>Leach, Dallas</t>
  </si>
  <si>
    <t>1983-01-16</t>
  </si>
  <si>
    <t>2027-09-24</t>
  </si>
  <si>
    <t>2024-12-27</t>
  </si>
  <si>
    <t>LeBlanc, Brandon  R</t>
  </si>
  <si>
    <t>Shared Services Manager</t>
  </si>
  <si>
    <t>1994-06-08</t>
  </si>
  <si>
    <t>2023-07-02</t>
  </si>
  <si>
    <t>Lecter, Hannibal</t>
  </si>
  <si>
    <t>1984-09-01</t>
  </si>
  <si>
    <t>Leruth, Giovanni</t>
  </si>
  <si>
    <t>1990-12-27</t>
  </si>
  <si>
    <t>2019-10-26</t>
  </si>
  <si>
    <t>Liebig, Ketsia</t>
  </si>
  <si>
    <t>1989-10-24</t>
  </si>
  <si>
    <t xml:space="preserve">Linares, Marilyn </t>
  </si>
  <si>
    <t>1983-03-26</t>
  </si>
  <si>
    <t>2027-04-20</t>
  </si>
  <si>
    <t>2025-08-27</t>
  </si>
  <si>
    <t>Linden, Mathew</t>
  </si>
  <si>
    <t>1988-03-16</t>
  </si>
  <si>
    <t xml:space="preserve">Lindsay, Leonara </t>
  </si>
  <si>
    <t>1991-10-05</t>
  </si>
  <si>
    <t>2018-07-18</t>
  </si>
  <si>
    <t>Lundy, Susan</t>
  </si>
  <si>
    <t>1979-12-26</t>
  </si>
  <si>
    <t>2027-07-18</t>
  </si>
  <si>
    <t>2023-12-06</t>
  </si>
  <si>
    <t>Lunquist, Lisa</t>
  </si>
  <si>
    <t>1990-03-26</t>
  </si>
  <si>
    <t>Lydon, Allison</t>
  </si>
  <si>
    <t>1984-10-19</t>
  </si>
  <si>
    <t>Lynch, Lindsay</t>
  </si>
  <si>
    <t>1976-02-14</t>
  </si>
  <si>
    <t>2022-07-30</t>
  </si>
  <si>
    <t>MacLennan, Samuel</t>
  </si>
  <si>
    <t>1977-11-08</t>
  </si>
  <si>
    <t>2027-03-03</t>
  </si>
  <si>
    <t>2024-09-26</t>
  </si>
  <si>
    <t xml:space="preserve">Mahoney, Lauren  </t>
  </si>
  <si>
    <t>1995-07-05</t>
  </si>
  <si>
    <t>Manchester, Robyn</t>
  </si>
  <si>
    <t>1986-08-23</t>
  </si>
  <si>
    <t>2023-11-06</t>
  </si>
  <si>
    <t>Mancuso, Karen</t>
  </si>
  <si>
    <t>1993-12-08</t>
  </si>
  <si>
    <t>2027-12-24</t>
  </si>
  <si>
    <t>Mangal, Debbie</t>
  </si>
  <si>
    <t>1978-11-06</t>
  </si>
  <si>
    <t>Martin, Sandra</t>
  </si>
  <si>
    <t>1996-11-04</t>
  </si>
  <si>
    <t>Maurice, Shana</t>
  </si>
  <si>
    <t>1981-11-21</t>
  </si>
  <si>
    <t>2018-11-25</t>
  </si>
  <si>
    <t>Carthy, B'rigit</t>
  </si>
  <si>
    <t>1992-05-19</t>
  </si>
  <si>
    <t>Mckenna, Sandy</t>
  </si>
  <si>
    <t>1994-01-05</t>
  </si>
  <si>
    <t>McKinzie, Jac</t>
  </si>
  <si>
    <t>1990-06-30</t>
  </si>
  <si>
    <t>Meads, Elizabeth</t>
  </si>
  <si>
    <t>1976-05-28</t>
  </si>
  <si>
    <t>2026-06-08</t>
  </si>
  <si>
    <t>2023-08-02</t>
  </si>
  <si>
    <t>Medeiros, Jennifer</t>
  </si>
  <si>
    <t>Miller, Brannon</t>
  </si>
  <si>
    <t>1989-08-08</t>
  </si>
  <si>
    <t>yes</t>
  </si>
  <si>
    <t>Hispanic</t>
  </si>
  <si>
    <t>2020-02-11</t>
  </si>
  <si>
    <t>Miller, Ned</t>
  </si>
  <si>
    <t>1987-06-29</t>
  </si>
  <si>
    <t>2027-08-10</t>
  </si>
  <si>
    <t>2020-07-11</t>
  </si>
  <si>
    <t>Monkfish, Erasumus</t>
  </si>
  <si>
    <t>1996-08-16</t>
  </si>
  <si>
    <t>Monroe, Peter</t>
  </si>
  <si>
    <t>IT Manager - Infra</t>
  </si>
  <si>
    <t>1990-10-04</t>
  </si>
  <si>
    <t>2019-08-12</t>
  </si>
  <si>
    <t>Monterro, Luisa</t>
  </si>
  <si>
    <t>1972-04-23</t>
  </si>
  <si>
    <t>2020-11-07</t>
  </si>
  <si>
    <t>Moran, Patrick</t>
  </si>
  <si>
    <t>1982-12-02</t>
  </si>
  <si>
    <t>Morway, Tanya</t>
  </si>
  <si>
    <t>1980-04-03</t>
  </si>
  <si>
    <t>Motlagh,  Dawn</t>
  </si>
  <si>
    <t>1994-07-05</t>
  </si>
  <si>
    <t>2020-09-26</t>
  </si>
  <si>
    <t xml:space="preserve">Moumanil, Maliki </t>
  </si>
  <si>
    <t>1983-11-29</t>
  </si>
  <si>
    <t>Myers, Michael</t>
  </si>
  <si>
    <t>1984-04-17</t>
  </si>
  <si>
    <t>Navathe, Kurt</t>
  </si>
  <si>
    <t>1980-04-22</t>
  </si>
  <si>
    <t>2024-08-07</t>
  </si>
  <si>
    <t>Ndzi, Colombui</t>
  </si>
  <si>
    <t>1993-05-01</t>
  </si>
  <si>
    <t>2026-12-26</t>
  </si>
  <si>
    <t>2020-08-27</t>
  </si>
  <si>
    <t>Ndzi, Horia</t>
  </si>
  <si>
    <t>1984-03-27</t>
  </si>
  <si>
    <t>2027-06-07</t>
  </si>
  <si>
    <t>2023-09-01</t>
  </si>
  <si>
    <t xml:space="preserve">Newman, Richard </t>
  </si>
  <si>
    <t>1979-04-08</t>
  </si>
  <si>
    <t xml:space="preserve">Ngodup, Shari </t>
  </si>
  <si>
    <t>1968-06-02</t>
  </si>
  <si>
    <t>Nguyen, Dheepa</t>
  </si>
  <si>
    <t>1993-03-30</t>
  </si>
  <si>
    <t>Nguyen, Lei-Ming</t>
  </si>
  <si>
    <t>1986-07-07</t>
  </si>
  <si>
    <t>Nowlan, Kristie</t>
  </si>
  <si>
    <t>1986-11-23</t>
  </si>
  <si>
    <t>O'hare, Lynn</t>
  </si>
  <si>
    <t>1986-09-29</t>
  </si>
  <si>
    <t>2027-11-30</t>
  </si>
  <si>
    <t>2025-09-03</t>
  </si>
  <si>
    <t xml:space="preserve">Oliver, Brooke </t>
  </si>
  <si>
    <t>1954-02-10</t>
  </si>
  <si>
    <t>2020-12-27</t>
  </si>
  <si>
    <t>Onque, Jasmine</t>
  </si>
  <si>
    <t>1999-05-09</t>
  </si>
  <si>
    <t>Osturnka, Adeel</t>
  </si>
  <si>
    <t>1980-12-10</t>
  </si>
  <si>
    <t>Owad, Clinton</t>
  </si>
  <si>
    <t>1984-11-22</t>
  </si>
  <si>
    <t>Ozark, Travis</t>
  </si>
  <si>
    <t>1990-05-17</t>
  </si>
  <si>
    <t>Panjwani, Nina</t>
  </si>
  <si>
    <t>2018-08-04</t>
  </si>
  <si>
    <t>2027-09-17</t>
  </si>
  <si>
    <t>Patronick, Lucas</t>
  </si>
  <si>
    <t>1988-02-18</t>
  </si>
  <si>
    <t>2027-11-14</t>
  </si>
  <si>
    <t>2023-02-10</t>
  </si>
  <si>
    <t>Pearson, Randall</t>
  </si>
  <si>
    <t>2022-05-28</t>
  </si>
  <si>
    <t>2028-12-08</t>
  </si>
  <si>
    <t>2023-07-13</t>
  </si>
  <si>
    <t>Smith, Martin</t>
  </si>
  <si>
    <t>1998-03-15</t>
  </si>
  <si>
    <t>2026-12-20</t>
  </si>
  <si>
    <t>2024-10-01</t>
  </si>
  <si>
    <t>Pelletier, Ermine</t>
  </si>
  <si>
    <t>1999-07-16</t>
  </si>
  <si>
    <t>2028-02-11</t>
  </si>
  <si>
    <t>2022-08-03</t>
  </si>
  <si>
    <t>Perry, Shakira</t>
  </si>
  <si>
    <t>1994-07-18</t>
  </si>
  <si>
    <t>2021-11-07</t>
  </si>
  <si>
    <t>Peters, Lauren</t>
  </si>
  <si>
    <t>1990-08-16</t>
  </si>
  <si>
    <t>2026-07-23</t>
  </si>
  <si>
    <t>2020-07-07</t>
  </si>
  <si>
    <t xml:space="preserve">Peterson, Ebonee  </t>
  </si>
  <si>
    <t>1985-05-07</t>
  </si>
  <si>
    <t>2018-04-21</t>
  </si>
  <si>
    <t>2027-06-02</t>
  </si>
  <si>
    <t>2022-08-30</t>
  </si>
  <si>
    <t xml:space="preserve">Petingill, Shana  </t>
  </si>
  <si>
    <t>1986-03-08</t>
  </si>
  <si>
    <t>Petrowsky, Thelma</t>
  </si>
  <si>
    <t>1988-09-15</t>
  </si>
  <si>
    <t>Pham, Hong</t>
  </si>
  <si>
    <t>1990-03-06</t>
  </si>
  <si>
    <t>2026-10-11</t>
  </si>
  <si>
    <t xml:space="preserve">Pitt, Brad </t>
  </si>
  <si>
    <t>1983-11-23</t>
  </si>
  <si>
    <t>2015-05-02</t>
  </si>
  <si>
    <t>Potts, Xana</t>
  </si>
  <si>
    <t>1995-08-28</t>
  </si>
  <si>
    <t>Power, Morissa</t>
  </si>
  <si>
    <t>1990-10-14</t>
  </si>
  <si>
    <t>2025-09-27</t>
  </si>
  <si>
    <t xml:space="preserve">Punjabhi, Louis  </t>
  </si>
  <si>
    <t>1968-06-17</t>
  </si>
  <si>
    <t>Purinton, Janine</t>
  </si>
  <si>
    <t>1977-09-20</t>
  </si>
  <si>
    <t>2028-12-29</t>
  </si>
  <si>
    <t>2020-09-27</t>
  </si>
  <si>
    <t>Quinn, Sean</t>
  </si>
  <si>
    <t>1992-11-04</t>
  </si>
  <si>
    <t>2028-06-02</t>
  </si>
  <si>
    <t>2021-10-14</t>
  </si>
  <si>
    <t>Rachael, Maggie</t>
  </si>
  <si>
    <t>1981-05-12</t>
  </si>
  <si>
    <t>Rarrick, Quinn</t>
  </si>
  <si>
    <t>1986-12-31</t>
  </si>
  <si>
    <t>2026-11-12</t>
  </si>
  <si>
    <t>2025-08-01</t>
  </si>
  <si>
    <t>Ren, Kylo</t>
  </si>
  <si>
    <t>1955-10-12</t>
  </si>
  <si>
    <t>Rhoads, Thomas</t>
  </si>
  <si>
    <t>1989-07-20</t>
  </si>
  <si>
    <t>2028-07-05</t>
  </si>
  <si>
    <t xml:space="preserve">Rivera, Haley  </t>
  </si>
  <si>
    <t>1979-01-11</t>
  </si>
  <si>
    <t>Roberson, May</t>
  </si>
  <si>
    <t>1983-09-05</t>
  </si>
  <si>
    <t>2028-08-19</t>
  </si>
  <si>
    <t>2019-04-18</t>
  </si>
  <si>
    <t>Robertson, Peter</t>
  </si>
  <si>
    <t>1976-07-02</t>
  </si>
  <si>
    <t>2027-08-27</t>
  </si>
  <si>
    <t>2019-07-03</t>
  </si>
  <si>
    <t xml:space="preserve">Robinson, Alain  </t>
  </si>
  <si>
    <t>1978-01-06</t>
  </si>
  <si>
    <t>2028-01-31</t>
  </si>
  <si>
    <t>2022-07-07</t>
  </si>
  <si>
    <t>Robinson, Cherly</t>
  </si>
  <si>
    <t>1989-01-06</t>
  </si>
  <si>
    <t>2026-11-29</t>
  </si>
  <si>
    <t>2023-10-01</t>
  </si>
  <si>
    <t>Robinson, Elias</t>
  </si>
  <si>
    <t>1994-01-26</t>
  </si>
  <si>
    <t xml:space="preserve">Roby, Lori </t>
  </si>
  <si>
    <t>1989-10-09</t>
  </si>
  <si>
    <t>Roehrich, Bianca</t>
  </si>
  <si>
    <t>Principal Data Architect</t>
  </si>
  <si>
    <t>1976-05-26</t>
  </si>
  <si>
    <t>2027-10-29</t>
  </si>
  <si>
    <t>2025-08-10</t>
  </si>
  <si>
    <t>Roper, Katie</t>
  </si>
  <si>
    <t>Data Architect</t>
  </si>
  <si>
    <t>1979-11-20</t>
  </si>
  <si>
    <t>2024-07-04</t>
  </si>
  <si>
    <t xml:space="preserve">Rose, Ashley  </t>
  </si>
  <si>
    <t>1977-12-04</t>
  </si>
  <si>
    <t>Rossetti, Bruno</t>
  </si>
  <si>
    <t>1992-03-16</t>
  </si>
  <si>
    <t>2025-12-27</t>
  </si>
  <si>
    <t>Roup,Simon</t>
  </si>
  <si>
    <t>IT Manager - DB</t>
  </si>
  <si>
    <t>1981-04-03</t>
  </si>
  <si>
    <t>2020-07-17</t>
  </si>
  <si>
    <t>Ruiz, Ricardo</t>
  </si>
  <si>
    <t>1968-01-03</t>
  </si>
  <si>
    <t>2026-11-28</t>
  </si>
  <si>
    <t>2022-07-01</t>
  </si>
  <si>
    <t>Saada, Adell</t>
  </si>
  <si>
    <t>1988-07-23</t>
  </si>
  <si>
    <t>Saar-Beckles, Melinda</t>
  </si>
  <si>
    <t>1976-06-04</t>
  </si>
  <si>
    <t>2023-12-30</t>
  </si>
  <si>
    <t xml:space="preserve">Sadki, Nore  </t>
  </si>
  <si>
    <t>1983-12-19</t>
  </si>
  <si>
    <t>2025-08-02</t>
  </si>
  <si>
    <t>Sahoo, Adil</t>
  </si>
  <si>
    <t>1988-04-25</t>
  </si>
  <si>
    <t>Salter, Jason</t>
  </si>
  <si>
    <t xml:space="preserve">Data Analyst </t>
  </si>
  <si>
    <t>1988-12-16</t>
  </si>
  <si>
    <t>2026-09-21</t>
  </si>
  <si>
    <t>2022-10-15</t>
  </si>
  <si>
    <t>Sander, Kamrin</t>
  </si>
  <si>
    <t>1997-07-08</t>
  </si>
  <si>
    <t>Sewkumar, Nori</t>
  </si>
  <si>
    <t>1976-03-09</t>
  </si>
  <si>
    <t xml:space="preserve">Shepard, Anita </t>
  </si>
  <si>
    <t>1983-04-14</t>
  </si>
  <si>
    <t>2022-03-27</t>
  </si>
  <si>
    <t>Shields, Seffi</t>
  </si>
  <si>
    <t>1989-08-23</t>
  </si>
  <si>
    <t>Simard, Kramer</t>
  </si>
  <si>
    <t>1973-02-07</t>
  </si>
  <si>
    <t xml:space="preserve">Singh, Nan </t>
  </si>
  <si>
    <t>1995-05-18</t>
  </si>
  <si>
    <t>2022-10-26</t>
  </si>
  <si>
    <t>Sloan, Constance</t>
  </si>
  <si>
    <t>1995-11-23</t>
  </si>
  <si>
    <t>2017-04-22</t>
  </si>
  <si>
    <t>2026-06-24</t>
  </si>
  <si>
    <t>2022-09-27</t>
  </si>
  <si>
    <t>Smith, Joe</t>
  </si>
  <si>
    <t>1971-10-28</t>
  </si>
  <si>
    <t>Smith, John</t>
  </si>
  <si>
    <t>1988-08-15</t>
  </si>
  <si>
    <t>2021-11-12</t>
  </si>
  <si>
    <t>Smith, Leigh Ann</t>
  </si>
  <si>
    <t>1994-06-12</t>
  </si>
  <si>
    <t>2026-11-23</t>
  </si>
  <si>
    <t>2021-02-09</t>
  </si>
  <si>
    <t>Smith, Sade</t>
  </si>
  <si>
    <t>1966-02-02</t>
  </si>
  <si>
    <t xml:space="preserve">Soto, Julia </t>
  </si>
  <si>
    <t>1976-03-11</t>
  </si>
  <si>
    <t>2018-12-05</t>
  </si>
  <si>
    <t>Soze, Keyser</t>
  </si>
  <si>
    <t>1990-02-07</t>
  </si>
  <si>
    <t xml:space="preserve">Sparks, Taylor  </t>
  </si>
  <si>
    <t>1969-07-20</t>
  </si>
  <si>
    <t>Spirea, Kelley</t>
  </si>
  <si>
    <t>1982-09-28</t>
  </si>
  <si>
    <t>2020-03-29</t>
  </si>
  <si>
    <t>Squatrito, Kristen</t>
  </si>
  <si>
    <t>1978-03-25</t>
  </si>
  <si>
    <t>2027-09-29</t>
  </si>
  <si>
    <t>2022-08-27</t>
  </si>
  <si>
    <t>Stanford,Barbara  M</t>
  </si>
  <si>
    <t>1990-08-23</t>
  </si>
  <si>
    <t>Stansfield, Norman</t>
  </si>
  <si>
    <t>1979-05-08</t>
  </si>
  <si>
    <t xml:space="preserve">Steans, Tyrone  </t>
  </si>
  <si>
    <t>1993-08-30</t>
  </si>
  <si>
    <t>Stoica, Rick</t>
  </si>
  <si>
    <t>1994-03-12</t>
  </si>
  <si>
    <t>Strong, Caitrin</t>
  </si>
  <si>
    <t>1997-05-10</t>
  </si>
  <si>
    <t>2018-03-24</t>
  </si>
  <si>
    <t xml:space="preserve">Sullivan, Kissy </t>
  </si>
  <si>
    <t>1981-03-27</t>
  </si>
  <si>
    <t>2016-07-05</t>
  </si>
  <si>
    <t>Sullivan, Timothy</t>
  </si>
  <si>
    <t>1986-10-06</t>
  </si>
  <si>
    <t>Sutwell, Barbara</t>
  </si>
  <si>
    <t>1973-08-14</t>
  </si>
  <si>
    <t>Szabo, Andrew</t>
  </si>
  <si>
    <t>1987-05-05</t>
  </si>
  <si>
    <t>Tannen, Biff</t>
  </si>
  <si>
    <t>1988-10-23</t>
  </si>
  <si>
    <t xml:space="preserve">Tavares, Desiree  </t>
  </si>
  <si>
    <t>1985-03-31</t>
  </si>
  <si>
    <t>2016-10-22</t>
  </si>
  <si>
    <t xml:space="preserve">Tejeda, Lenora </t>
  </si>
  <si>
    <t>1962-05-22</t>
  </si>
  <si>
    <t>2028-09-17</t>
  </si>
  <si>
    <t>2024-10-13</t>
  </si>
  <si>
    <t xml:space="preserve">Terry, Sharlene </t>
  </si>
  <si>
    <t>1966-05-07</t>
  </si>
  <si>
    <t>Theamstern, Sophia</t>
  </si>
  <si>
    <t>1971-05-08</t>
  </si>
  <si>
    <t>2027-08-04</t>
  </si>
  <si>
    <t>2023-08-28</t>
  </si>
  <si>
    <t>Thibaud, Kenneth</t>
  </si>
  <si>
    <t>1976-09-15</t>
  </si>
  <si>
    <t>2014-12-20</t>
  </si>
  <si>
    <t>2018-01-08</t>
  </si>
  <si>
    <t>Tippett, Jeanette</t>
  </si>
  <si>
    <t>1968-06-04</t>
  </si>
  <si>
    <t>2020-08-15</t>
  </si>
  <si>
    <t>Torrence, Jack</t>
  </si>
  <si>
    <t>1978-01-12</t>
  </si>
  <si>
    <t>2013-07-06</t>
  </si>
  <si>
    <t>Trang, Mei</t>
  </si>
  <si>
    <t>1991-05-14</t>
  </si>
  <si>
    <t xml:space="preserve">Tredinnick, Neville </t>
  </si>
  <si>
    <t>1997-05-03</t>
  </si>
  <si>
    <t>True, Edward</t>
  </si>
  <si>
    <t>1992-06-11</t>
  </si>
  <si>
    <t>2028-03-09</t>
  </si>
  <si>
    <t>2024-08-09</t>
  </si>
  <si>
    <t>Trzeciak, Cybil</t>
  </si>
  <si>
    <t>1988-03-14</t>
  </si>
  <si>
    <t>Turpin, Jumil</t>
  </si>
  <si>
    <t>1970-03-31</t>
  </si>
  <si>
    <t>Valentin,Jackie</t>
  </si>
  <si>
    <t>2000-05-20</t>
  </si>
  <si>
    <t xml:space="preserve">Veera, Abdellah </t>
  </si>
  <si>
    <t>1989-01-30</t>
  </si>
  <si>
    <t>2026-10-25</t>
  </si>
  <si>
    <t>Vega, Vincent</t>
  </si>
  <si>
    <t>1971-10-10</t>
  </si>
  <si>
    <t>2019-01-26</t>
  </si>
  <si>
    <t>Villanueva, Noah</t>
  </si>
  <si>
    <t>1991-07-11</t>
  </si>
  <si>
    <t>Voldemort, Lord</t>
  </si>
  <si>
    <t>1996-08-04</t>
  </si>
  <si>
    <t>2027-04-14</t>
  </si>
  <si>
    <t>Volk, Colleen</t>
  </si>
  <si>
    <t>1988-06-02</t>
  </si>
  <si>
    <t>2028-02-23</t>
  </si>
  <si>
    <t>2022-07-29</t>
  </si>
  <si>
    <t>Von Massenbach, Anna</t>
  </si>
  <si>
    <t>1989-04-05</t>
  </si>
  <si>
    <t>2022-12-30</t>
  </si>
  <si>
    <t>Walker, Roger</t>
  </si>
  <si>
    <t>1983-02-08</t>
  </si>
  <si>
    <t>Wallace, Courtney  E</t>
  </si>
  <si>
    <t>1957-11-13</t>
  </si>
  <si>
    <t>2026-06-06</t>
  </si>
  <si>
    <t>2019-06-29</t>
  </si>
  <si>
    <t>Wallace, Theresa</t>
  </si>
  <si>
    <t>1990-07-31</t>
  </si>
  <si>
    <t>2027-06-26</t>
  </si>
  <si>
    <t>2022-03-02</t>
  </si>
  <si>
    <t>Wang, Charlie</t>
  </si>
  <si>
    <t>1985-07-07</t>
  </si>
  <si>
    <t>Warfield, Sarah</t>
  </si>
  <si>
    <t>1988-04-29</t>
  </si>
  <si>
    <t>2026-08-02</t>
  </si>
  <si>
    <t>Whittier, Scott</t>
  </si>
  <si>
    <t>1997-05-21</t>
  </si>
  <si>
    <t>2027-05-04</t>
  </si>
  <si>
    <t>2021-11-09</t>
  </si>
  <si>
    <t>Wilber, Barry</t>
  </si>
  <si>
    <t>1966-09-09</t>
  </si>
  <si>
    <t>2026-10-18</t>
  </si>
  <si>
    <t>Wilkes, Annie</t>
  </si>
  <si>
    <t>1993-07-27</t>
  </si>
  <si>
    <t>2027-11-18</t>
  </si>
  <si>
    <t>2018-08-03</t>
  </si>
  <si>
    <t xml:space="preserve">Williams, Jacquelyn  </t>
  </si>
  <si>
    <t>1971-10-02</t>
  </si>
  <si>
    <t>2027-07-21</t>
  </si>
  <si>
    <t>2021-11-27</t>
  </si>
  <si>
    <t xml:space="preserve">Winthrop, Jordan  </t>
  </si>
  <si>
    <t>1965-11-05</t>
  </si>
  <si>
    <t>2026-12-23</t>
  </si>
  <si>
    <t>2023-07-16</t>
  </si>
  <si>
    <t>Wolk, Hang  T</t>
  </si>
  <si>
    <t>1995-04-18</t>
  </si>
  <si>
    <t>Woodson, Jason</t>
  </si>
  <si>
    <t>1995-05-09</t>
  </si>
  <si>
    <t xml:space="preserve">Ybarra, Catherine </t>
  </si>
  <si>
    <t>1991-05-02</t>
  </si>
  <si>
    <t>2016-02-28</t>
  </si>
  <si>
    <t>2023-02-27</t>
  </si>
  <si>
    <t>Zamora, Jennifer</t>
  </si>
  <si>
    <t>CIO</t>
  </si>
  <si>
    <t>1985-08-28</t>
  </si>
  <si>
    <t>2017-10-05</t>
  </si>
  <si>
    <t>Zhou, Julia</t>
  </si>
  <si>
    <t>1984-02-23</t>
  </si>
  <si>
    <t>Zima, Colleen</t>
  </si>
  <si>
    <t>1982-08-16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</si>
</sst>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13" Type="http://schemas.openxmlformats.org/officeDocument/2006/relationships/hyperlink" Target="https://www.bing.com/th?id=OSK.03d80660231bababa942e8c9ed1dfec1&amp;qlt=95" TargetMode="External"/><Relationship Id="rId18" Type="http://schemas.openxmlformats.org/officeDocument/2006/relationships/hyperlink" Target="https://www.bing.com/images/search?form=xlimg&amp;q=Ohio" TargetMode="External"/><Relationship Id="rId26" Type="http://schemas.openxmlformats.org/officeDocument/2006/relationships/hyperlink" Target="https://www.bing.com/images/search?form=xlimg&amp;q=Rhode%20Island" TargetMode="External"/><Relationship Id="rId39" Type="http://schemas.openxmlformats.org/officeDocument/2006/relationships/hyperlink" Target="https://www.bing.com/th?id=OSK.5298d5fdb87c55ae20755a3ecda49b82&amp;qlt=95" TargetMode="External"/><Relationship Id="rId21" Type="http://schemas.openxmlformats.org/officeDocument/2006/relationships/hyperlink" Target="https://www.bing.com/th?id=OSK.3a6d792742adbfbc4e14c85ada3cc45e&amp;qlt=95" TargetMode="External"/><Relationship Id="rId34" Type="http://schemas.openxmlformats.org/officeDocument/2006/relationships/hyperlink" Target="https://www.bing.com/images/search?form=xlimg&amp;q=Utah" TargetMode="External"/><Relationship Id="rId42" Type="http://schemas.openxmlformats.org/officeDocument/2006/relationships/hyperlink" Target="https://www.bing.com/images/search?form=xlimg&amp;q=Kentucky" TargetMode="External"/><Relationship Id="rId47" Type="http://schemas.openxmlformats.org/officeDocument/2006/relationships/hyperlink" Target="https://www.bing.com/th?id=OSK.3cac6f59eff0481c7b36747bb05ec5c2&amp;qlt=95" TargetMode="External"/><Relationship Id="rId50" Type="http://schemas.openxmlformats.org/officeDocument/2006/relationships/hyperlink" Target="https://www.bing.com/images/search?form=xlimg&amp;q=Oregon" TargetMode="External"/><Relationship Id="rId55" Type="http://schemas.openxmlformats.org/officeDocument/2006/relationships/hyperlink" Target="https://www.bing.com/th?id=OSK.paNWHp6HnzChSyaW4BS1ZcXciFRddidxxz6eOubLhcI&amp;qlt=95" TargetMode="External"/><Relationship Id="rId7" Type="http://schemas.openxmlformats.org/officeDocument/2006/relationships/hyperlink" Target="https://www.bing.com/th?id=OSK.TWCPXPE9FUWp0cM8qL7VEiWcO6uWRowmMw7M_ZGJE6I&amp;qlt=95" TargetMode="External"/><Relationship Id="rId2" Type="http://schemas.openxmlformats.org/officeDocument/2006/relationships/hyperlink" Target="https://www.bing.com/images/search?form=xlimg&amp;q=Massachusetts" TargetMode="External"/><Relationship Id="rId16" Type="http://schemas.openxmlformats.org/officeDocument/2006/relationships/hyperlink" Target="https://www.bing.com/images/search?form=xlimg&amp;q=California" TargetMode="External"/><Relationship Id="rId29" Type="http://schemas.openxmlformats.org/officeDocument/2006/relationships/hyperlink" Target="https://www.bing.com/th?id=OSK.45b000eca20920938c4234caefd1353b&amp;qlt=95" TargetMode="External"/><Relationship Id="rId11" Type="http://schemas.openxmlformats.org/officeDocument/2006/relationships/hyperlink" Target="https://www.bing.com/th?id=OSK.848f4b01470591b7605a547c5e913bfd&amp;qlt=95" TargetMode="External"/><Relationship Id="rId24" Type="http://schemas.openxmlformats.org/officeDocument/2006/relationships/hyperlink" Target="https://www.bing.com/images/search?form=xlimg&amp;q=New%20Hampshire" TargetMode="External"/><Relationship Id="rId32" Type="http://schemas.openxmlformats.org/officeDocument/2006/relationships/hyperlink" Target="https://www.bing.com/images/search?form=xlimg&amp;q=New%20York%20(state)" TargetMode="External"/><Relationship Id="rId37" Type="http://schemas.openxmlformats.org/officeDocument/2006/relationships/hyperlink" Target="https://www.bing.com/th?id=OSK.7a317c296be07786cf960d020cbf3889&amp;qlt=95" TargetMode="External"/><Relationship Id="rId40" Type="http://schemas.openxmlformats.org/officeDocument/2006/relationships/hyperlink" Target="https://www.bing.com/images/search?form=xlimg&amp;q=North%20Carolina" TargetMode="External"/><Relationship Id="rId45" Type="http://schemas.openxmlformats.org/officeDocument/2006/relationships/hyperlink" Target="https://www.bing.com/th?id=OSK.8316e8e65a56511e212078ba2f5895c4&amp;qlt=95" TargetMode="External"/><Relationship Id="rId53" Type="http://schemas.openxmlformats.org/officeDocument/2006/relationships/hyperlink" Target="https://www.bing.com/th?id=OSK.3c540a048279aac253eac8639b1a7dad&amp;qlt=95" TargetMode="External"/><Relationship Id="rId5" Type="http://schemas.openxmlformats.org/officeDocument/2006/relationships/hyperlink" Target="https://www.bing.com/th?id=OSK.442c5a157898c7930af9b5287a87e0c1&amp;qlt=95" TargetMode="External"/><Relationship Id="rId10" Type="http://schemas.openxmlformats.org/officeDocument/2006/relationships/hyperlink" Target="https://www.bing.com/images/search?form=xlimg&amp;q=Vermont" TargetMode="External"/><Relationship Id="rId19" Type="http://schemas.openxmlformats.org/officeDocument/2006/relationships/hyperlink" Target="https://www.bing.com/th?id=OSK.4ff7d688245f99bc5db3bd5b106d2ad0&amp;qlt=95" TargetMode="External"/><Relationship Id="rId31" Type="http://schemas.openxmlformats.org/officeDocument/2006/relationships/hyperlink" Target="https://www.bing.com/th?id=OSK.4277f930fd75c3bf9c4f9931ef31930a&amp;qlt=95" TargetMode="External"/><Relationship Id="rId44" Type="http://schemas.openxmlformats.org/officeDocument/2006/relationships/hyperlink" Target="https://www.bing.com/images/search?form=xlimg&amp;q=Idaho" TargetMode="External"/><Relationship Id="rId52" Type="http://schemas.openxmlformats.org/officeDocument/2006/relationships/hyperlink" Target="https://www.bing.com/images/search?form=xlimg&amp;q=North%20Dakota" TargetMode="External"/><Relationship Id="rId4" Type="http://schemas.openxmlformats.org/officeDocument/2006/relationships/hyperlink" Target="https://www.bing.com/images/search?form=xlimg&amp;q=Texas" TargetMode="External"/><Relationship Id="rId9" Type="http://schemas.openxmlformats.org/officeDocument/2006/relationships/hyperlink" Target="https://www.bing.com/th?id=OSK.jV4BJ20NKalVgc78WeguI21fnwLkXPXKx_mJeDJoAIQ&amp;qlt=95" TargetMode="External"/><Relationship Id="rId14" Type="http://schemas.openxmlformats.org/officeDocument/2006/relationships/hyperlink" Target="https://www.bing.com/images/search?form=xlimg&amp;q=Washington%20(state)" TargetMode="External"/><Relationship Id="rId22" Type="http://schemas.openxmlformats.org/officeDocument/2006/relationships/hyperlink" Target="https://www.bing.com/images/search?form=xlimg&amp;q=Tennessee" TargetMode="External"/><Relationship Id="rId27" Type="http://schemas.openxmlformats.org/officeDocument/2006/relationships/hyperlink" Target="https://www.bing.com/th?id=OSK.7bfbead25a8cd788f9ef5c17097be1bc&amp;qlt=95" TargetMode="External"/><Relationship Id="rId30" Type="http://schemas.openxmlformats.org/officeDocument/2006/relationships/hyperlink" Target="https://www.bing.com/images/search?form=xlimg&amp;q=Colorado" TargetMode="External"/><Relationship Id="rId35" Type="http://schemas.openxmlformats.org/officeDocument/2006/relationships/hyperlink" Target="https://www.bing.com/th?id=OSK.PvqNg4uQAN6i8VUrFRx8Nwt0UhDqlJx6Cr--merkmHE&amp;qlt=95" TargetMode="External"/><Relationship Id="rId43" Type="http://schemas.openxmlformats.org/officeDocument/2006/relationships/hyperlink" Target="https://www.bing.com/th?id=OSK.c00116602405ef2e44b62c8d9cde71d0&amp;qlt=95" TargetMode="External"/><Relationship Id="rId48" Type="http://schemas.openxmlformats.org/officeDocument/2006/relationships/hyperlink" Target="https://www.bing.com/images/search?form=xlimg&amp;q=Montana" TargetMode="External"/><Relationship Id="rId56" Type="http://schemas.openxmlformats.org/officeDocument/2006/relationships/hyperlink" Target="https://www.bing.com/images/search?form=xlimg&amp;q=Maine" TargetMode="External"/><Relationship Id="rId8" Type="http://schemas.openxmlformats.org/officeDocument/2006/relationships/hyperlink" Target="https://www.bing.com/images/search?form=xlimg&amp;q=Virginia" TargetMode="External"/><Relationship Id="rId51" Type="http://schemas.openxmlformats.org/officeDocument/2006/relationships/hyperlink" Target="https://www.bing.com/th?id=OSK.17425921aa4d924b36100941f39fa7f9&amp;qlt=95" TargetMode="External"/><Relationship Id="rId3" Type="http://schemas.openxmlformats.org/officeDocument/2006/relationships/hyperlink" Target="https://www.bing.com/th?id=OSK.SVYUtepPkoNBO0XKZx0Tgywh15vSCDHt9inDc6ybS_U&amp;qlt=95" TargetMode="External"/><Relationship Id="rId12" Type="http://schemas.openxmlformats.org/officeDocument/2006/relationships/hyperlink" Target="https://www.bing.com/images/search?form=xlimg&amp;q=Alabama" TargetMode="External"/><Relationship Id="rId17" Type="http://schemas.openxmlformats.org/officeDocument/2006/relationships/hyperlink" Target="https://www.bing.com/th?id=OSK.28bd4a5560f6884fc55949e0018e908f&amp;qlt=95" TargetMode="External"/><Relationship Id="rId25" Type="http://schemas.openxmlformats.org/officeDocument/2006/relationships/hyperlink" Target="https://www.bing.com/th?id=OSK.8836cf6b96e037858c8bcf7fe60e2737&amp;qlt=95" TargetMode="External"/><Relationship Id="rId33" Type="http://schemas.openxmlformats.org/officeDocument/2006/relationships/hyperlink" Target="https://www.bing.com/th?id=OSK.4d1e764285f56ff670fae1d21698d055&amp;qlt=95" TargetMode="External"/><Relationship Id="rId38" Type="http://schemas.openxmlformats.org/officeDocument/2006/relationships/hyperlink" Target="https://www.bing.com/images/search?form=xlimg&amp;q=Florida" TargetMode="External"/><Relationship Id="rId46" Type="http://schemas.openxmlformats.org/officeDocument/2006/relationships/hyperlink" Target="https://www.bing.com/images/search?form=xlimg&amp;q=Nevada" TargetMode="External"/><Relationship Id="rId20" Type="http://schemas.openxmlformats.org/officeDocument/2006/relationships/hyperlink" Target="https://www.bing.com/images/search?form=xlimg&amp;q=Indiana" TargetMode="External"/><Relationship Id="rId41" Type="http://schemas.openxmlformats.org/officeDocument/2006/relationships/hyperlink" Target="https://www.bing.com/th?id=OSK.e751b37b293608b5e613743d1502ad91&amp;qlt=95" TargetMode="External"/><Relationship Id="rId54" Type="http://schemas.openxmlformats.org/officeDocument/2006/relationships/hyperlink" Target="https://www.bing.com/images/search?form=xlimg&amp;q=Arizona" TargetMode="External"/><Relationship Id="rId1" Type="http://schemas.openxmlformats.org/officeDocument/2006/relationships/hyperlink" Target="https://www.bing.com/th?id=OSK.987b2cac28f5ea262ad37b9b21c25b33&amp;qlt=95" TargetMode="External"/><Relationship Id="rId6" Type="http://schemas.openxmlformats.org/officeDocument/2006/relationships/hyperlink" Target="https://www.bing.com/images/search?form=xlimg&amp;q=Connecticut" TargetMode="External"/><Relationship Id="rId15" Type="http://schemas.openxmlformats.org/officeDocument/2006/relationships/hyperlink" Target="https://www.bing.com/th?id=OSK.8319dbaa13fead960d37449c46d8afd4&amp;qlt=95" TargetMode="External"/><Relationship Id="rId23" Type="http://schemas.openxmlformats.org/officeDocument/2006/relationships/hyperlink" Target="https://www.bing.com/th?id=OSK.f0ef2b300368e75fc61df0246c1ae8b2&amp;qlt=95" TargetMode="External"/><Relationship Id="rId28" Type="http://schemas.openxmlformats.org/officeDocument/2006/relationships/hyperlink" Target="https://www.bing.com/images/search?form=xlimg&amp;q=Pennsylvania" TargetMode="External"/><Relationship Id="rId36" Type="http://schemas.openxmlformats.org/officeDocument/2006/relationships/hyperlink" Target="https://www.bing.com/images/search?form=xlimg&amp;q=Georgia%20(U.S.%20state)" TargetMode="External"/><Relationship Id="rId49" Type="http://schemas.openxmlformats.org/officeDocument/2006/relationships/hyperlink" Target="https://www.bing.com/th?id=OSK.19263ba781b2d04f226b1395956fc749&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Srd>
</file>

<file path=xl/richData/rdarray.xml><?xml version="1.0" encoding="utf-8"?>
<arrayData xmlns="http://schemas.microsoft.com/office/spreadsheetml/2017/richdata2" count="43">
  <a r="5">
    <v t="r">8</v>
    <v t="r">8</v>
    <v t="r">9</v>
    <v t="r">10</v>
    <v t="r">11</v>
  </a>
  <a r="1">
    <v t="s">English language</v>
  </a>
  <a r="1">
    <v t="s">Eastern Time Zone</v>
  </a>
  <a r="5">
    <v t="r">46</v>
    <v t="r">46</v>
    <v t="r">47</v>
    <v t="r">48</v>
    <v t="r">49</v>
  </a>
  <a r="1">
    <v t="s">Central Time Zone</v>
  </a>
  <a r="5">
    <v t="r">82</v>
    <v t="r">82</v>
    <v t="r">83</v>
    <v t="r">84</v>
    <v t="r">85</v>
  </a>
  <a r="5">
    <v t="r">114</v>
    <v t="r">114</v>
    <v t="r">115</v>
    <v t="r">116</v>
    <v t="r">117</v>
  </a>
  <a r="1">
    <v t="s">English</v>
  </a>
  <a r="5">
    <v t="r">148</v>
    <v t="r">148</v>
    <v t="r">149</v>
    <v t="r">150</v>
    <v t="r">151</v>
  </a>
  <a r="5">
    <v t="r">182</v>
    <v t="r">182</v>
    <v t="r">183</v>
    <v t="r">184</v>
    <v t="r">185</v>
  </a>
  <a r="5">
    <v t="r">216</v>
    <v t="r">216</v>
    <v t="r">217</v>
    <v t="r">218</v>
    <v t="r">219</v>
  </a>
  <a r="1">
    <v t="s">American English</v>
  </a>
  <a r="2">
    <v t="s">UTC−07:00</v>
    <v t="s">UTC−08:00</v>
  </a>
  <a r="5">
    <v t="r">251</v>
    <v t="r">251</v>
    <v t="r">252</v>
    <v t="r">253</v>
    <v t="r">254</v>
  </a>
  <a r="1">
    <v t="s">Pacific Time Zone</v>
  </a>
  <a r="5">
    <v t="r">284</v>
    <v t="r">284</v>
    <v t="r">285</v>
    <v t="r">286</v>
    <v t="r">287</v>
  </a>
  <a r="2">
    <v t="s">English</v>
    <v t="s">De facto and de jure</v>
  </a>
  <a r="5">
    <v t="r">315</v>
    <v t="r">315</v>
    <v t="r">316</v>
    <v t="r">317</v>
    <v t="r">318</v>
  </a>
  <a r="2">
    <v t="s">Eastern Time Zone</v>
    <v t="s">Central Time Zone</v>
  </a>
  <a r="5">
    <v t="r">345</v>
    <v t="r">345</v>
    <v t="r">346</v>
    <v t="r">347</v>
    <v t="r">348</v>
  </a>
  <a r="4">
    <v t="r">369</v>
    <v t="r">369</v>
    <v t="r">370</v>
    <v t="r">371</v>
  </a>
  <a r="5">
    <v t="r">398</v>
    <v t="r">398</v>
    <v t="r">399</v>
    <v t="r">400</v>
    <v t="r">401</v>
  </a>
  <a r="3">
    <v t="s">English</v>
    <v t="s">De facto</v>
    <v t="s">De jure</v>
  </a>
  <a r="5">
    <v t="r">426</v>
    <v t="r">426</v>
    <v t="r">427</v>
    <v t="r">428</v>
    <v t="r">429</v>
  </a>
  <a r="5">
    <v t="r">454</v>
    <v t="r">454</v>
    <v t="r">455</v>
    <v t="r">456</v>
    <v t="r">457</v>
  </a>
  <a r="1">
    <v t="s">UTC−07:00</v>
  </a>
  <a r="5">
    <v t="r">485</v>
    <v t="r">485</v>
    <v t="r">486</v>
    <v t="r">487</v>
    <v t="r">488</v>
  </a>
  <a r="5">
    <v t="r">512</v>
    <v t="r">512</v>
    <v t="r">513</v>
    <v t="r">514</v>
    <v t="r">515</v>
  </a>
  <a r="1">
    <v t="s">Mountain Time Zone</v>
  </a>
  <a r="5">
    <v t="r">542</v>
    <v t="r">542</v>
    <v t="r">543</v>
    <v t="r">544</v>
    <v t="r">545</v>
  </a>
  <a r="5">
    <v t="r">571</v>
    <v t="r">571</v>
    <v t="r">572</v>
    <v t="r">573</v>
    <v t="r">574</v>
  </a>
  <a r="5">
    <v t="r">597</v>
    <v t="r">597</v>
    <v t="r">598</v>
    <v t="r">599</v>
    <v t="r">600</v>
  </a>
  <a r="5">
    <v t="r">624</v>
    <v t="r">624</v>
    <v t="r">625</v>
    <v t="r">626</v>
    <v t="r">627</v>
  </a>
  <a r="5">
    <v t="r">650</v>
    <v t="r">650</v>
    <v t="r">651</v>
    <v t="r">652</v>
    <v t="r">653</v>
  </a>
  <a r="5">
    <v t="r">677</v>
    <v t="r">677</v>
    <v t="r">678</v>
    <v t="r">679</v>
    <v t="r">680</v>
  </a>
  <a r="2">
    <v t="s">Pacific Time Zone</v>
    <v t="s">Mountain Time Zone</v>
  </a>
  <a r="5">
    <v t="r">704</v>
    <v t="r">704</v>
    <v t="r">705</v>
    <v t="r">706</v>
    <v t="r">707</v>
  </a>
  <a r="5">
    <v t="r">731</v>
    <v t="r">731</v>
    <v t="r">732</v>
    <v t="r">733</v>
    <v t="r">734</v>
  </a>
  <a r="2">
    <v t="s">English language</v>
    <v t="s">De facto and de jure</v>
  </a>
  <a r="5">
    <v t="r">760</v>
    <v t="r">760</v>
    <v t="r">761</v>
    <v t="r">762</v>
    <v t="r">763</v>
  </a>
  <a r="2">
    <v t="s">Central Time Zone</v>
    <v t="s">Mountain Time Zone</v>
  </a>
  <a r="5">
    <v t="r">786</v>
    <v t="r">786</v>
    <v t="r">787</v>
    <v t="r">788</v>
    <v t="r">789</v>
  </a>
  <a r="4">
    <v t="r">814</v>
    <v t="r">814</v>
    <v t="r">815</v>
    <v t="r">816</v>
  </a>
</arrayData>
</file>

<file path=xl/richData/rdrichvalue.xml><?xml version="1.0" encoding="utf-8"?>
<rvData xmlns="http://schemas.microsoft.com/office/spreadsheetml/2017/richdata" count="831">
  <rv s="0">
    <v>536870912</v>
    <v>Massachusetts</v>
    <v>845219d5-3650-4199-b926-964ca27c863c</v>
    <v>en-US</v>
    <v>Map</v>
  </rv>
  <rv s="1">
    <fb>27336</fb>
    <v>11</v>
  </rv>
  <rv s="1">
    <fb>16288</fb>
    <v>11</v>
  </rv>
  <rv s="0">
    <v>536870912</v>
    <v>Boston</v>
    <v>f0f5899a-361f-4fe4-89d1-11130aa2c653</v>
    <v>en-US</v>
    <v>Map</v>
  </rv>
  <rv s="0">
    <v>536870912</v>
    <v>United States</v>
    <v>5232ed96-85b1-2edb-12c6-63e6c597a1de</v>
    <v>en-US</v>
    <v>Map</v>
  </rv>
  <rv s="1">
    <fb>2549721</fb>
    <v>11</v>
  </rv>
  <rv s="1">
    <fb>2858026</fb>
    <v>11</v>
  </rv>
  <rv s="2">
    <v>0</v>
    <v>9</v>
    <v>0</v>
    <v>7</v>
    <v>0</v>
    <v>Image of Massachusetts</v>
  </rv>
  <rv s="0">
    <v>805306368</v>
    <v>Maura Healey (Governor)</v>
    <v>16f75b4a-61cd-c874-f8be-b832c93cc2f9</v>
    <v>en-US</v>
    <v>Generic</v>
  </rv>
  <rv s="0">
    <v>805306368</v>
    <v>Kim Driscoll (Lieutenant governor)</v>
    <v>49e728c3-181d-48d9-8e7d-8c9fef062e0e</v>
    <v>en-US</v>
    <v>Generic</v>
  </rv>
  <rv s="0">
    <v>805306368</v>
    <v>Elizabeth Warren (Senate)</v>
    <v>8c35b43e-b645-d791-7a5c-305ebcc23f83</v>
    <v>en-US</v>
    <v>Generic</v>
  </rv>
  <rv s="0">
    <v>805306368</v>
    <v>Ed Markey (Senate)</v>
    <v>a9ec6fce-5147-02f1-0a7e-53c0f484c57c</v>
    <v>en-US</v>
    <v>Generic</v>
  </rv>
  <rv s="3">
    <v>0</v>
  </rv>
  <rv s="4">
    <v>https://www.bing.com/search?q=massachusetts&amp;form=skydnc</v>
    <v>Learn more on Bing</v>
  </rv>
  <rv s="1">
    <fb>1102</fb>
    <v>12</v>
  </rv>
  <rv s="1">
    <fb>68563</fb>
    <v>12</v>
  </rv>
  <rv s="1">
    <fb>333100</fb>
    <v>12</v>
  </rv>
  <rv s="3">
    <v>1</v>
  </rv>
  <rv s="1">
    <fb>2.5299999999999998</fb>
    <v>13</v>
  </rv>
  <rv s="1">
    <fb>7154084</fb>
    <v>11</v>
  </rv>
  <rv s="1">
    <fb>0.04</fb>
    <v>14</v>
  </rv>
  <rv s="1">
    <fb>0.154</fb>
    <v>14</v>
  </rv>
  <rv s="1">
    <fb>5.0000000000000001E-3</fb>
    <v>15</v>
  </rv>
  <rv s="1">
    <fb>6.6000000000000003E-2</fb>
    <v>14</v>
  </rv>
  <rv s="1">
    <fb>0.40500000000000003</fb>
    <v>14</v>
  </rv>
  <rv s="1">
    <fb>8.4000000000000005E-2</fb>
    <v>14</v>
  </rv>
  <rv s="1">
    <fb>0.155</fb>
    <v>14</v>
  </rv>
  <rv s="1">
    <fb>0.89800000000000002</fb>
    <v>14</v>
  </rv>
  <rv s="1">
    <fb>0.11199999999999999</fb>
    <v>14</v>
  </rv>
  <rv s="1">
    <fb>0.67500000000000004</fb>
    <v>14</v>
  </rv>
  <rv s="1">
    <fb>1E-3</fb>
    <v>14</v>
  </rv>
  <rv s="1">
    <fb>7.9000000000000001E-2</fb>
    <v>14</v>
  </rv>
  <rv s="1">
    <fb>2.3E-2</fb>
    <v>14</v>
  </rv>
  <rv s="1">
    <fb>0.20399999999999999</fb>
    <v>14</v>
  </rv>
  <rv s="1">
    <fb>5.4000000000000006E-2</fb>
    <v>14</v>
  </rv>
  <rv s="1">
    <fb>0.82099999999999995</fb>
    <v>14</v>
  </rv>
  <rv s="3">
    <v>2</v>
  </rv>
  <rv s="5">
    <v>#VALUE!</v>
    <v>en-US</v>
    <v>845219d5-3650-4199-b926-964ca27c863c</v>
    <v>536870912</v>
    <v>1</v>
    <v>4</v>
    <v>5</v>
    <v>Massachusetts</v>
    <v>7</v>
    <v>8</v>
    <v>Map</v>
    <v>9</v>
    <v>10</v>
    <v>US-MA</v>
    <v>1</v>
    <v>2</v>
    <v>3</v>
    <v>4</v>
    <v>Massachusetts, officially the Commonwealth of Massachusetts, is a state in the New England region of the Northeastern United States. It borders the Atlantic Ocean and the Gulf of Maine to its east, Connecticut and Rhode Island to its south, New ...</v>
    <v>5</v>
    <v>6</v>
    <v>7</v>
    <v>3</v>
    <v>12</v>
    <v>13</v>
    <v>14</v>
    <v>15</v>
    <v>16</v>
    <v>Massachusetts</v>
    <v>17</v>
    <v>18</v>
    <v>19</v>
    <v>20</v>
    <v>21</v>
    <v>22</v>
    <v>23</v>
    <v>24</v>
    <v>25</v>
    <v>26</v>
    <v>27</v>
    <v>28</v>
    <v>29</v>
    <v>30</v>
    <v>31</v>
    <v>32</v>
    <v>33</v>
    <v>34</v>
    <v>35</v>
    <v>36</v>
    <v>Massachusetts</v>
    <v>mdp/vdpid/20543</v>
  </rv>
  <rv s="0">
    <v>536870912</v>
    <v>Texas</v>
    <v>00a23ccd-3344-461c-8b9f-c2bb55be5815</v>
    <v>en-US</v>
    <v>Map</v>
  </rv>
  <rv s="1">
    <fb>696241</fb>
    <v>11</v>
  </rv>
  <rv s="1">
    <fb>165853</fb>
    <v>11</v>
  </rv>
  <rv s="0">
    <v>536870912</v>
    <v>Austin, Texas</v>
    <v>afd7d7f6-01a2-401c-bb4d-59f7e34d585c</v>
    <v>en-US</v>
    <v>Map</v>
  </rv>
  <rv s="1">
    <fb>9149196</fb>
    <v>11</v>
  </rv>
  <rv s="1">
    <fb>10753629</fb>
    <v>11</v>
  </rv>
  <rv s="2">
    <v>1</v>
    <v>9</v>
    <v>22</v>
    <v>7</v>
    <v>0</v>
    <v>Image of Texas</v>
  </rv>
  <rv s="0">
    <v>536870912</v>
    <v>Houston</v>
    <v>ad99c262-d92e-4e88-87f7-5c66752fec36</v>
    <v>en-US</v>
    <v>Map</v>
  </rv>
  <rv s="0">
    <v>805306368</v>
    <v>Greg Abbott (Governor)</v>
    <v>3ecc1598-f192-4041-68bd-7ee531040fb8</v>
    <v>en-US</v>
    <v>Generic</v>
  </rv>
  <rv s="0">
    <v>805306368</v>
    <v>Dan Patrick (Lieutenant governor)</v>
    <v>81fa6492-e02a-5fd9-98ea-c00f95546796</v>
    <v>en-US</v>
    <v>Generic</v>
  </rv>
  <rv s="0">
    <v>805306368</v>
    <v>John Cornyn (Senate)</v>
    <v>ff5fa806-c9b4-2565-81e0-5b28e9202f84</v>
    <v>en-US</v>
    <v>Generic</v>
  </rv>
  <rv s="0">
    <v>805306368</v>
    <v>Ted Cruz (Senate)</v>
    <v>aa4efb26-8956-237f-ce58-b8bea991d9d1</v>
    <v>en-US</v>
    <v>Generic</v>
  </rv>
  <rv s="3">
    <v>3</v>
  </rv>
  <rv s="4">
    <v>https://www.bing.com/search?q=texas&amp;form=skydnc</v>
    <v>Learn more on Bing</v>
  </rv>
  <rv s="1">
    <fb>882</fb>
    <v>12</v>
  </rv>
  <rv s="1">
    <fb>53207</fb>
    <v>12</v>
  </rv>
  <rv s="1">
    <fb>136000</fb>
    <v>12</v>
  </rv>
  <rv s="1">
    <fb>2.84</fb>
    <v>13</v>
  </rv>
  <rv s="1">
    <fb>29183290</fb>
    <v>11</v>
  </rv>
  <rv s="1">
    <fb>0.10800000000000001</fb>
    <v>14</v>
  </rv>
  <rv s="1">
    <fb>0.11699999999999999</fb>
    <v>14</v>
  </rv>
  <rv s="1">
    <fb>0.01</fb>
    <v>15</v>
  </rv>
  <rv s="1">
    <fb>4.7E-2</fb>
    <v>14</v>
  </rv>
  <rv s="1">
    <fb>0.27600000000000002</fb>
    <v>14</v>
  </rv>
  <rv s="1">
    <fb>0.125</fb>
    <v>14</v>
  </rv>
  <rv s="1">
    <fb>0.16600000000000001</fb>
    <v>14</v>
  </rv>
  <rv s="1">
    <fb>0.81900000000000006</fb>
    <v>14</v>
  </rv>
  <rv s="1">
    <fb>0.38799999999999996</fb>
    <v>14</v>
  </rv>
  <rv s="1">
    <fb>0.64300000000000002</fb>
    <v>14</v>
  </rv>
  <rv s="1">
    <fb>8.1000000000000003E-2</fb>
    <v>14</v>
  </rv>
  <rv s="1">
    <fb>1.9E-2</fb>
    <v>14</v>
  </rv>
  <rv s="1">
    <fb>0.26300000000000001</fb>
    <v>14</v>
  </rv>
  <rv s="1">
    <fb>7.2000000000000008E-2</fb>
    <v>14</v>
  </rv>
  <rv s="1">
    <fb>0.79700000000000004</fb>
    <v>14</v>
  </rv>
  <rv s="3">
    <v>4</v>
  </rv>
  <rv s="6">
    <v>#VALUE!</v>
    <v>en-US</v>
    <v>00a23ccd-3344-461c-8b9f-c2bb55be5815</v>
    <v>536870912</v>
    <v>1</v>
    <v>19</v>
    <v>20</v>
    <v>Texas</v>
    <v>7</v>
    <v>8</v>
    <v>Map</v>
    <v>9</v>
    <v>21</v>
    <v>US-TX</v>
    <v>39</v>
    <v>40</v>
    <v>41</v>
    <v>4</v>
    <v>Texas is the most populous state in the Southern United States. It borders the American states of Louisiana to the east, Arkansas to the northeast, Oklahoma to the north, and New Mexico to the west. To the south and southwest, it has an ...</v>
    <v>42</v>
    <v>43</v>
    <v>44</v>
    <v>45</v>
    <v>50</v>
    <v>51</v>
    <v>52</v>
    <v>53</v>
    <v>54</v>
    <v>Texas</v>
    <v>55</v>
    <v>56</v>
    <v>57</v>
    <v>58</v>
    <v>59</v>
    <v>60</v>
    <v>61</v>
    <v>62</v>
    <v>63</v>
    <v>64</v>
    <v>65</v>
    <v>66</v>
    <v>30</v>
    <v>67</v>
    <v>68</v>
    <v>69</v>
    <v>70</v>
    <v>71</v>
    <v>72</v>
    <v>Texas</v>
    <v>mdp/vdpid/33145</v>
  </rv>
  <rv s="0">
    <v>536870912</v>
    <v>Connecticut</v>
    <v>b3ca6523-435e-4a3b-8f78-1ad900a52cf8</v>
    <v>en-US</v>
    <v>Map</v>
  </rv>
  <rv s="1">
    <fb>14357</fb>
    <v>11</v>
  </rv>
  <rv s="1">
    <fb>5504</fb>
    <v>11</v>
  </rv>
  <rv s="0">
    <v>536870912</v>
    <v>Hartford, Connecticut</v>
    <v>b8b8ebf2-e2da-483f-8643-880dd55aad13</v>
    <v>en-US</v>
    <v>Map</v>
  </rv>
  <rv s="1">
    <fb>1352583</fb>
    <v>11</v>
  </rv>
  <rv s="1">
    <fb>1499116</fb>
    <v>11</v>
  </rv>
  <rv s="2">
    <v>2</v>
    <v>9</v>
    <v>23</v>
    <v>7</v>
    <v>0</v>
    <v>Image of Connecticut</v>
  </rv>
  <rv s="0">
    <v>536870912</v>
    <v>Bridgeport, Connecticut</v>
    <v>a8869591-489d-40ba-b80b-b6d1e6c19391</v>
    <v>en-US</v>
    <v>Map</v>
  </rv>
  <rv s="0">
    <v>805306368</v>
    <v>Ned Lamont (Governor)</v>
    <v>3685f682-77d1-4823-3b8f-bcb46698ef70</v>
    <v>en-US</v>
    <v>Generic</v>
  </rv>
  <rv s="0">
    <v>805306368</v>
    <v>Susan Bysiewicz (Lieutenant governor)</v>
    <v>e8219547-8f75-e4f3-3f07-7b5df6eb7c4c</v>
    <v>en-US</v>
    <v>Generic</v>
  </rv>
  <rv s="0">
    <v>805306368</v>
    <v>Richard Blumenthal (Senate)</v>
    <v>4e6038a9-b7ca-bb9c-0d4b-a75013d4185b</v>
    <v>en-US</v>
    <v>Generic</v>
  </rv>
  <rv s="0">
    <v>805306368</v>
    <v>Chris Murphy (Senate)</v>
    <v>693665e4-3df7-8219-3f37-3d54910459d6</v>
    <v>en-US</v>
    <v>Generic</v>
  </rv>
  <rv s="3">
    <v>5</v>
  </rv>
  <rv s="4">
    <v>https://www.bing.com/search?q=connecticut&amp;form=skydnc</v>
    <v>Learn more on Bing</v>
  </rv>
  <rv s="1">
    <fb>1075</fb>
    <v>12</v>
  </rv>
  <rv s="1">
    <fb>70331</fb>
    <v>12</v>
  </rv>
  <rv s="1">
    <fb>270500</fb>
    <v>12</v>
  </rv>
  <rv s="1">
    <fb>2.57</fb>
    <v>13</v>
  </rv>
  <rv s="1">
    <fb>3688496</fb>
    <v>11</v>
  </rv>
  <rv s="1">
    <fb>0.158</fb>
    <v>14</v>
  </rv>
  <rv s="1">
    <fb>4.5999999999999999E-2</fb>
    <v>14</v>
  </rv>
  <rv s="1">
    <fb>0.376</fb>
    <v>14</v>
  </rv>
  <rv s="1">
    <fb>0.11599999999999999</fb>
    <v>14</v>
  </rv>
  <rv s="1">
    <fb>0.13900000000000001</fb>
    <v>14</v>
  </rv>
  <rv s="1">
    <fb>0.89900000000000002</fb>
    <v>14</v>
  </rv>
  <rv s="1">
    <fb>0.67200000000000004</fb>
    <v>14</v>
  </rv>
  <rv s="1">
    <fb>7.0999999999999994E-2</fb>
    <v>14</v>
  </rv>
  <rv s="1">
    <fb>2.2000000000000002E-2</fb>
    <v>14</v>
  </rv>
  <rv s="1">
    <fb>0.21299999999999999</fb>
    <v>14</v>
  </rv>
  <rv s="1">
    <fb>5.2000000000000005E-2</fb>
    <v>14</v>
  </rv>
  <rv s="1">
    <fb>0.80799999999999994</fb>
    <v>14</v>
  </rv>
  <rv s="6">
    <v>#VALUE!</v>
    <v>en-US</v>
    <v>b3ca6523-435e-4a3b-8f78-1ad900a52cf8</v>
    <v>536870912</v>
    <v>1</v>
    <v>26</v>
    <v>20</v>
    <v>Connecticut</v>
    <v>7</v>
    <v>8</v>
    <v>Map</v>
    <v>9</v>
    <v>10</v>
    <v>US-CT</v>
    <v>75</v>
    <v>76</v>
    <v>77</v>
    <v>4</v>
    <v>Connecticut is a state in the New England region of the Northeastern United States. It borders Rhode Island to the east, Massachusetts to the north, New York to the west, and Long Island Sound to the south. Its capital is Hartford, and its most ...</v>
    <v>78</v>
    <v>79</v>
    <v>80</v>
    <v>81</v>
    <v>86</v>
    <v>87</v>
    <v>88</v>
    <v>89</v>
    <v>90</v>
    <v>Connecticut</v>
    <v>91</v>
    <v>92</v>
    <v>30</v>
    <v>93</v>
    <v>22</v>
    <v>94</v>
    <v>95</v>
    <v>96</v>
    <v>97</v>
    <v>98</v>
    <v>21</v>
    <v>99</v>
    <v>30</v>
    <v>100</v>
    <v>101</v>
    <v>102</v>
    <v>103</v>
    <v>104</v>
    <v>36</v>
    <v>Connecticut</v>
    <v>mdp/vdpid/7798</v>
  </rv>
  <rv s="0">
    <v>536870912</v>
    <v>Virginia</v>
    <v>7eee9976-e8a7-472c-ada1-007208abd678</v>
    <v>en-US</v>
    <v>Map</v>
  </rv>
  <rv s="1">
    <fb>110862</fb>
    <v>11</v>
  </rv>
  <rv s="1">
    <fb>31132</fb>
    <v>11</v>
  </rv>
  <rv s="0">
    <v>536870912</v>
    <v>Richmond, Virginia</v>
    <v>59263810-6a82-4930-943c-1fa0693b17b0</v>
    <v>en-US</v>
    <v>Map</v>
  </rv>
  <rv s="1">
    <fb>3062783</fb>
    <v>11</v>
  </rv>
  <rv s="1">
    <fb>3491054</fb>
    <v>11</v>
  </rv>
  <rv s="2">
    <v>3</v>
    <v>9</v>
    <v>27</v>
    <v>7</v>
    <v>0</v>
    <v>Image of Virginia</v>
  </rv>
  <rv s="0">
    <v>536870912</v>
    <v>Virginia Beach, Virginia</v>
    <v>6f1fd4dd-40ef-4ec3-989c-108c9b444996</v>
    <v>en-US</v>
    <v>Map</v>
  </rv>
  <rv s="0">
    <v>805306368</v>
    <v>Abigail Spanberger (Governor)</v>
    <v>b8ce047c-5c3f-497b-9918-195374ee9242</v>
    <v>en-US</v>
    <v>Generic</v>
  </rv>
  <rv s="0">
    <v>805306368</v>
    <v>Ghazala Hashmi (Lieutenant governor)</v>
    <v>ae17cd17-7e98-937c-7e18-616c282aa351</v>
    <v>en-US</v>
    <v>Generic</v>
  </rv>
  <rv s="0">
    <v>805306368</v>
    <v>Mark Warner (Senate)</v>
    <v>bafe4c69-4773-f0a1-de77-fad6715b4e46</v>
    <v>en-US</v>
    <v>Generic</v>
  </rv>
  <rv s="0">
    <v>805306368</v>
    <v>Tim Kaine (Senate)</v>
    <v>9aab4faa-6ba2-9199-1171-b656b550d012</v>
    <v>en-US</v>
    <v>Generic</v>
  </rv>
  <rv s="3">
    <v>6</v>
  </rv>
  <rv s="4">
    <v>https://www.bing.com/search?q=virginia&amp;form=skydnc</v>
    <v>Learn more on Bing</v>
  </rv>
  <rv s="1">
    <fb>1116</fb>
    <v>12</v>
  </rv>
  <rv s="1">
    <fb>65015</fb>
    <v>12</v>
  </rv>
  <rv s="1">
    <fb>245000</fb>
    <v>12</v>
  </rv>
  <rv s="3">
    <v>7</v>
  </rv>
  <rv s="1">
    <fb>2.62</fb>
    <v>13</v>
  </rv>
  <rv s="1">
    <fb>8880107</fb>
    <v>11</v>
  </rv>
  <rv s="1">
    <fb>5.0999999999999997E-2</fb>
    <v>14</v>
  </rv>
  <rv s="1">
    <fb>0.14199999999999999</fb>
    <v>14</v>
  </rv>
  <rv s="1">
    <fb>6.5000000000000002E-2</fb>
    <v>14</v>
  </rv>
  <rv s="1">
    <fb>0.36299999999999999</fb>
    <v>14</v>
  </rv>
  <rv s="1">
    <fb>0.19699999999999998</fb>
    <v>14</v>
  </rv>
  <rv s="1">
    <fb>0.88300000000000001</fb>
    <v>14</v>
  </rv>
  <rv s="1">
    <fb>0.09</fb>
    <v>14</v>
  </rv>
  <rv s="1">
    <fb>0.64700000000000002</fb>
    <v>14</v>
  </rv>
  <rv s="1">
    <fb>7.6999999999999999E-2</fb>
    <v>14</v>
  </rv>
  <rv s="1">
    <fb>2.8999999999999998E-2</fb>
    <v>14</v>
  </rv>
  <rv s="1">
    <fb>0.223</fb>
    <v>14</v>
  </rv>
  <rv s="1">
    <fb>6.0999999999999999E-2</fb>
    <v>14</v>
  </rv>
  <rv s="1">
    <fb>0.70200000000000007</fb>
    <v>14</v>
  </rv>
  <rv s="5">
    <v>#VALUE!</v>
    <v>en-US</v>
    <v>7eee9976-e8a7-472c-ada1-007208abd678</v>
    <v>536870912</v>
    <v>1</v>
    <v>30</v>
    <v>5</v>
    <v>Virginia</v>
    <v>7</v>
    <v>8</v>
    <v>Map</v>
    <v>9</v>
    <v>10</v>
    <v>US-VA</v>
    <v>107</v>
    <v>108</v>
    <v>109</v>
    <v>4</v>
    <v>Virginia, officially the Commonwealth of Virginia, is a state in the Southeastern and Mid-Atlantic regions of the United States between the Atlantic Coast and the Appalachian Mountains. It borders Kentucky to the west, Tennessee to the ...</v>
    <v>110</v>
    <v>111</v>
    <v>112</v>
    <v>113</v>
    <v>118</v>
    <v>119</v>
    <v>120</v>
    <v>121</v>
    <v>122</v>
    <v>Virginia</v>
    <v>123</v>
    <v>124</v>
    <v>125</v>
    <v>126</v>
    <v>127</v>
    <v>22</v>
    <v>128</v>
    <v>129</v>
    <v>130</v>
    <v>58</v>
    <v>131</v>
    <v>132</v>
    <v>133</v>
    <v>30</v>
    <v>134</v>
    <v>135</v>
    <v>136</v>
    <v>137</v>
    <v>138</v>
    <v>36</v>
    <v>Virginia</v>
    <v>mdp/vdpid/35364</v>
  </rv>
  <rv s="0">
    <v>536870912</v>
    <v>Vermont</v>
    <v>221864cc-447e-4e78-847c-59e485d73bff</v>
    <v>en-US</v>
    <v>Map</v>
  </rv>
  <rv s="1">
    <fb>24923</fb>
    <v>11</v>
  </rv>
  <rv s="1">
    <fb>1771</fb>
    <v>11</v>
  </rv>
  <rv s="0">
    <v>536870912</v>
    <v>Montpelier, Vermont</v>
    <v>6a01399d-d09a-4bda-4500-012bb3271e9d</v>
    <v>en-US</v>
    <v>Map</v>
  </rv>
  <rv s="1">
    <fb>257167</fb>
    <v>11</v>
  </rv>
  <rv s="1">
    <fb>329525</fb>
    <v>11</v>
  </rv>
  <rv s="2">
    <v>4</v>
    <v>9</v>
    <v>37</v>
    <v>7</v>
    <v>0</v>
    <v>Image of Vermont</v>
  </rv>
  <rv s="0">
    <v>536870912</v>
    <v>Burlington, Vermont</v>
    <v>eebf9ffb-0254-aae7-1bdd-23d4e654a053</v>
    <v>en-US</v>
    <v>Map</v>
  </rv>
  <rv s="0">
    <v>805306368</v>
    <v>Phil Scott (Governor)</v>
    <v>f903a590-d3d7-9d9c-6429-b38ae1a17c71</v>
    <v>en-US</v>
    <v>Generic</v>
  </rv>
  <rv s="0">
    <v>805306368</v>
    <v>John S. Rodgers (Lieutenant governor)</v>
    <v>0f4d7c62-fed7-b470-0abd-dced794f3bca</v>
    <v>en-US</v>
    <v>Generic</v>
  </rv>
  <rv s="0">
    <v>805306368</v>
    <v>Bernie Sanders (Senate)</v>
    <v>d1b180da-aff9-59f7-887e-85784c68fe0c</v>
    <v>en-US</v>
    <v>Generic</v>
  </rv>
  <rv s="0">
    <v>805306368</v>
    <v>Peter Welch (Senate)</v>
    <v>30280e22-a5a0-57c8-a708-8fbde585185c</v>
    <v>en-US</v>
    <v>Generic</v>
  </rv>
  <rv s="3">
    <v>8</v>
  </rv>
  <rv s="4">
    <v>https://www.bing.com/search?q=vermont&amp;form=skydnc</v>
    <v>Learn more on Bing</v>
  </rv>
  <rv s="1">
    <fb>895</fb>
    <v>12</v>
  </rv>
  <rv s="1">
    <fb>55176</fb>
    <v>12</v>
  </rv>
  <rv s="1">
    <fb>217500</fb>
    <v>12</v>
  </rv>
  <rv s="1">
    <fb>2.34</fb>
    <v>13</v>
  </rv>
  <rv s="1">
    <fb>644663</fb>
    <v>11</v>
  </rv>
  <rv s="1">
    <fb>-2E-3</fb>
    <v>14</v>
  </rv>
  <rv s="1">
    <fb>0.17600000000000002</fb>
    <v>14</v>
  </rv>
  <rv s="1">
    <fb>4.0000000000000001E-3</fb>
    <v>15</v>
  </rv>
  <rv s="1">
    <fb>1.6E-2</fb>
    <v>14</v>
  </rv>
  <rv s="1">
    <fb>0.36</fb>
    <v>14</v>
  </rv>
  <rv s="1">
    <fb>1.3000000000000001E-2</fb>
    <v>14</v>
  </rv>
  <rv s="1">
    <fb>4.2999999999999997E-2</fb>
    <v>14</v>
  </rv>
  <rv s="1">
    <fb>0.91799999999999993</fb>
    <v>14</v>
  </rv>
  <rv s="1">
    <fb>1.8000000000000002E-2</fb>
    <v>14</v>
  </rv>
  <rv s="1">
    <fb>0.66599999999999993</fb>
    <v>14</v>
  </rv>
  <rv s="1">
    <fb>0.1</fb>
    <v>14</v>
  </rv>
  <rv s="1">
    <fb>0.192</fb>
    <v>14</v>
  </rv>
  <rv s="1">
    <fb>4.9000000000000002E-2</fb>
    <v>14</v>
  </rv>
  <rv s="1">
    <fb>0.94799999999999995</fb>
    <v>14</v>
  </rv>
  <rv s="7">
    <v>#VALUE!</v>
    <v>en-US</v>
    <v>221864cc-447e-4e78-847c-59e485d73bff</v>
    <v>536870912</v>
    <v>1</v>
    <v>34</v>
    <v>35</v>
    <v>Vermont</v>
    <v>7</v>
    <v>8</v>
    <v>Map</v>
    <v>9</v>
    <v>36</v>
    <v>US-VT</v>
    <v>141</v>
    <v>142</v>
    <v>143</v>
    <v>4</v>
    <v>Vermont is a landlocked state in the New England region of the Northeastern United States. It borders Massachusetts to the south, New Hampshire to the east, New York to the west, and the Canadian province of Quebec to the north. According to the ...</v>
    <v>144</v>
    <v>145</v>
    <v>146</v>
    <v>147</v>
    <v>152</v>
    <v>153</v>
    <v>154</v>
    <v>155</v>
    <v>156</v>
    <v>Vermont</v>
    <v>157</v>
    <v>158</v>
    <v>159</v>
    <v>160</v>
    <v>161</v>
    <v>162</v>
    <v>163</v>
    <v>164</v>
    <v>165</v>
    <v>166</v>
    <v>167</v>
    <v>168</v>
    <v>169</v>
    <v>68</v>
    <v>170</v>
    <v>171</v>
    <v>172</v>
    <v>36</v>
    <v>Vermont</v>
    <v>mdp/vdpid/35022</v>
  </rv>
  <rv s="0">
    <v>536870912</v>
    <v>Alabama</v>
    <v>376f8b06-52f6-4e72-a31d-311a3563e645</v>
    <v>en-US</v>
    <v>Map</v>
  </rv>
  <rv s="1">
    <fb>135765</fb>
    <v>11</v>
  </rv>
  <rv s="1">
    <fb>15001</fb>
    <v>11</v>
  </rv>
  <rv s="0">
    <v>536870912</v>
    <v>Montgomery, Alabama</v>
    <v>94461fee-ea89-40c8-9fd7-0fb277396c57</v>
    <v>en-US</v>
    <v>Map</v>
  </rv>
  <rv s="1">
    <fb>1848325</fb>
    <v>11</v>
  </rv>
  <rv s="1">
    <fb>2230185</fb>
    <v>11</v>
  </rv>
  <rv s="2">
    <v>5</v>
    <v>9</v>
    <v>38</v>
    <v>7</v>
    <v>0</v>
    <v>Image of Alabama</v>
  </rv>
  <rv s="0">
    <v>536870912</v>
    <v>Huntsville, Alabama</v>
    <v>137418fd-4a88-44b7-82ae-882366c96167</v>
    <v>en-US</v>
    <v>Map</v>
  </rv>
  <rv s="0">
    <v>805306368</v>
    <v>Kay Ivey (Governor)</v>
    <v>a2f77bba-b8e2-c4d5-614a-3373a005b8ad</v>
    <v>en-US</v>
    <v>Generic</v>
  </rv>
  <rv s="0">
    <v>805306368</v>
    <v>Will Ainsworth (Lieutenant governor)</v>
    <v>94c54ae1-f876-5341-9b94-0f826d9b10a6</v>
    <v>en-US</v>
    <v>Generic</v>
  </rv>
  <rv s="0">
    <v>805306368</v>
    <v>Tommy Tuberville (Senate)</v>
    <v>6bb1615c-dfe2-d8f2-c1a4-3ada7a909798</v>
    <v>en-US</v>
    <v>Generic</v>
  </rv>
  <rv s="0">
    <v>805306368</v>
    <v>Katie Britt (Senate)</v>
    <v>9d3200b7-4be3-519b-5b79-781f390d3cb2</v>
    <v>en-US</v>
    <v>Generic</v>
  </rv>
  <rv s="3">
    <v>9</v>
  </rv>
  <rv s="4">
    <v>https://www.bing.com/search?q=alabama&amp;form=skydnc</v>
    <v>Learn more on Bing</v>
  </rv>
  <rv s="1">
    <fb>717</fb>
    <v>12</v>
  </rv>
  <rv s="1">
    <fb>43623</fb>
    <v>12</v>
  </rv>
  <rv s="1">
    <fb>125500</fb>
    <v>12</v>
  </rv>
  <rv s="1">
    <fb>2.5499999999999998</fb>
    <v>13</v>
  </rv>
  <rv s="1">
    <fb>5157699</fb>
    <v>11</v>
  </rv>
  <rv s="1">
    <fb>1.7000000000000001E-2</fb>
    <v>14</v>
  </rv>
  <rv s="1">
    <fb>0.157</fb>
    <v>14</v>
  </rv>
  <rv s="1">
    <fb>6.9999999999999993E-3</fb>
    <v>15</v>
  </rv>
  <rv s="1">
    <fb>1.3999999999999999E-2</fb>
    <v>14</v>
  </rv>
  <rv s="1">
    <fb>0.23499999999999999</fb>
    <v>14</v>
  </rv>
  <rv s="1">
    <fb>0.26800000000000002</fb>
    <v>14</v>
  </rv>
  <rv s="1">
    <fb>3.5000000000000003E-2</fb>
    <v>14</v>
  </rv>
  <rv s="1">
    <fb>0.84299999999999997</fb>
    <v>14</v>
  </rv>
  <rv s="1">
    <fb>4.2000000000000003E-2</fb>
    <v>14</v>
  </rv>
  <rv s="1">
    <fb>0.57999999999999996</fb>
    <v>14</v>
  </rv>
  <rv s="1">
    <fb>0.11800000000000001</fb>
    <v>14</v>
  </rv>
  <rv s="1">
    <fb>0.22699999999999998</fb>
    <v>14</v>
  </rv>
  <rv s="1">
    <fb>0.06</fb>
    <v>14</v>
  </rv>
  <rv s="1">
    <fb>0.69499999999999995</fb>
    <v>14</v>
  </rv>
  <rv s="5">
    <v>#VALUE!</v>
    <v>en-US</v>
    <v>376f8b06-52f6-4e72-a31d-311a3563e645</v>
    <v>536870912</v>
    <v>1</v>
    <v>41</v>
    <v>5</v>
    <v>Alabama</v>
    <v>7</v>
    <v>8</v>
    <v>Map</v>
    <v>9</v>
    <v>42</v>
    <v>US-AL</v>
    <v>175</v>
    <v>176</v>
    <v>177</v>
    <v>4</v>
    <v>Alabama is a state in the Southeastern and Deep Southern regions of the United States. It borders Tennessee to the north, Georgia to the east, Florida and the Gulf of Mexico to the south, and Mississippi to the west. Alabama is the 30th largest ...</v>
    <v>178</v>
    <v>179</v>
    <v>180</v>
    <v>181</v>
    <v>186</v>
    <v>187</v>
    <v>188</v>
    <v>189</v>
    <v>190</v>
    <v>Alabama</v>
    <v>123</v>
    <v>191</v>
    <v>192</v>
    <v>193</v>
    <v>194</v>
    <v>195</v>
    <v>196</v>
    <v>197</v>
    <v>198</v>
    <v>199</v>
    <v>200</v>
    <v>201</v>
    <v>202</v>
    <v>30</v>
    <v>203</v>
    <v>162</v>
    <v>204</v>
    <v>205</v>
    <v>206</v>
    <v>72</v>
    <v>Alabama</v>
    <v>mdp/vdpid/1003</v>
  </rv>
  <rv s="0">
    <v>536870912</v>
    <v>Washington</v>
    <v>982ad551-fd5d-45df-bd70-bf704dd576e4</v>
    <v>en-US</v>
    <v>Map</v>
  </rv>
  <rv s="1">
    <fb>184827</fb>
    <v>11</v>
  </rv>
  <rv s="1">
    <fb>44077</fb>
    <v>11</v>
  </rv>
  <rv s="0">
    <v>536870912</v>
    <v>Olympia, Washington</v>
    <v>25db44e7-f2cd-390a-3d28-310cf208511a</v>
    <v>en-US</v>
    <v>Map</v>
  </rv>
  <rv s="1">
    <fb>2668912</fb>
    <v>11</v>
  </rv>
  <rv s="1">
    <fb>3025685</fb>
    <v>11</v>
  </rv>
  <rv s="2">
    <v>6</v>
    <v>9</v>
    <v>43</v>
    <v>7</v>
    <v>0</v>
    <v>Image of Washington</v>
  </rv>
  <rv s="0">
    <v>536870912</v>
    <v>Seattle</v>
    <v>5fbba6b8-85e1-4d41-9444-d9055436e473</v>
    <v>en-US</v>
    <v>Map</v>
  </rv>
  <rv s="0">
    <v>805306368</v>
    <v>Bob Ferguson (Governor)</v>
    <v>2464edaa-5d9d-80c4-a739-c8facff008c8</v>
    <v>en-US</v>
    <v>Generic</v>
  </rv>
  <rv s="0">
    <v>805306368</v>
    <v>Denny Heck (Lieutenant governor)</v>
    <v>6546aa9c-5751-8959-d6c9-87392e9c5388</v>
    <v>en-US</v>
    <v>Generic</v>
  </rv>
  <rv s="0">
    <v>805306368</v>
    <v>Patty Murray (Senate)</v>
    <v>a41f4cf0-ea3a-051a-5f08-9a4a37c32c6f</v>
    <v>en-US</v>
    <v>Generic</v>
  </rv>
  <rv s="0">
    <v>805306368</v>
    <v>Maria Cantwell (Senate)</v>
    <v>3ef88fef-4a71-bcf5-79f4-52533d720553</v>
    <v>en-US</v>
    <v>Generic</v>
  </rv>
  <rv s="3">
    <v>10</v>
  </rv>
  <rv s="4">
    <v>https://www.bing.com/search?q=washington+state&amp;form=skydnc</v>
    <v>Learn more on Bing</v>
  </rv>
  <rv s="1">
    <fb>1014</fb>
    <v>12</v>
  </rv>
  <rv s="1">
    <fb>61062</fb>
    <v>12</v>
  </rv>
  <rv s="1">
    <fb>259500</fb>
    <v>12</v>
  </rv>
  <rv s="3">
    <v>11</v>
  </rv>
  <rv s="1">
    <fb>2.56</fb>
    <v>13</v>
  </rv>
  <rv s="1">
    <fb>8001020</fb>
    <v>11</v>
  </rv>
  <rv s="1">
    <fb>0.14400000000000002</fb>
    <v>14</v>
  </rv>
  <rv s="1">
    <fb>1.9E-2</fb>
    <v>15</v>
  </rv>
  <rv s="1">
    <fb>0.32899999999999996</fb>
    <v>14</v>
  </rv>
  <rv s="1">
    <fb>4.0999999999999995E-2</fb>
    <v>14</v>
  </rv>
  <rv s="1">
    <fb>0.13400000000000001</fb>
    <v>14</v>
  </rv>
  <rv s="1">
    <fb>0.90400000000000003</fb>
    <v>14</v>
  </rv>
  <rv s="1">
    <fb>0.124</fb>
    <v>14</v>
  </rv>
  <rv s="1">
    <fb>0.63500000000000001</fb>
    <v>14</v>
  </rv>
  <rv s="1">
    <fb>6.9999999999999993E-3</fb>
    <v>14</v>
  </rv>
  <rv s="1">
    <fb>8.900000000000001E-2</fb>
    <v>14</v>
  </rv>
  <rv s="1">
    <fb>0.22500000000000001</fb>
    <v>14</v>
  </rv>
  <rv s="1">
    <fb>6.2E-2</fb>
    <v>14</v>
  </rv>
  <rv s="1">
    <fb>0.80299999999999994</fb>
    <v>14</v>
  </rv>
  <rv s="3">
    <v>12</v>
  </rv>
  <rv s="5">
    <v>#VALUE!</v>
    <v>en-US</v>
    <v>982ad551-fd5d-45df-bd70-bf704dd576e4</v>
    <v>536870912</v>
    <v>1</v>
    <v>46</v>
    <v>5</v>
    <v>Washington</v>
    <v>7</v>
    <v>8</v>
    <v>Map</v>
    <v>9</v>
    <v>10</v>
    <v>US-WA</v>
    <v>209</v>
    <v>210</v>
    <v>211</v>
    <v>4</v>
    <v>Washington is a state in the Pacific Northwest region of the United States. It is often referred to as Washington state to distinguish it from the national capital; both are named after George Washington, a U.S. Founding Father and the first ...</v>
    <v>212</v>
    <v>213</v>
    <v>214</v>
    <v>215</v>
    <v>220</v>
    <v>221</v>
    <v>222</v>
    <v>223</v>
    <v>224</v>
    <v>Washington</v>
    <v>225</v>
    <v>226</v>
    <v>227</v>
    <v>25</v>
    <v>228</v>
    <v>229</v>
    <v>25</v>
    <v>230</v>
    <v>231</v>
    <v>232</v>
    <v>233</v>
    <v>234</v>
    <v>235</v>
    <v>236</v>
    <v>237</v>
    <v>94</v>
    <v>238</v>
    <v>239</v>
    <v>240</v>
    <v>241</v>
    <v>Washington</v>
    <v>mdp/vdpid/35841</v>
  </rv>
  <rv s="0">
    <v>536870912</v>
    <v>California</v>
    <v>3009d91d-d582-4c34-85ba-772ba09e5be1</v>
    <v>en-US</v>
    <v>Map</v>
  </rv>
  <rv s="1">
    <fb>423970</fb>
    <v>11</v>
  </rv>
  <rv s="1">
    <fb>102350</fb>
    <v>11</v>
  </rv>
  <rv s="0">
    <v>536870912</v>
    <v>Sacramento, California</v>
    <v>4a1a8070-cc3d-4060-af9c-08ccbbca73d7</v>
    <v>en-US</v>
    <v>Map</v>
  </rv>
  <rv s="1">
    <fb>12717801</fb>
    <v>11</v>
  </rv>
  <rv s="1">
    <fb>14060525</fb>
    <v>11</v>
  </rv>
  <rv s="2">
    <v>7</v>
    <v>9</v>
    <v>47</v>
    <v>7</v>
    <v>0</v>
    <v>Image of California</v>
  </rv>
  <rv s="0">
    <v>536870912</v>
    <v>Los Angeles</v>
    <v>9958ca5c-ea31-4e71-8a17-bd1e7839c723</v>
    <v>en-US</v>
    <v>Map</v>
  </rv>
  <rv s="0">
    <v>805306368</v>
    <v>Gavin Newsom (Governor)</v>
    <v>ddd0ecbf-d7a9-4913-80c4-8eca3d95b4f2</v>
    <v>en-US</v>
    <v>Generic</v>
  </rv>
  <rv s="0">
    <v>805306368</v>
    <v>Eleni Kounalakis (Lieutenant governor)</v>
    <v>c8b4c34f-e58f-d4cc-2651-1b432d67c11a</v>
    <v>en-US</v>
    <v>Generic</v>
  </rv>
  <rv s="0">
    <v>805306368</v>
    <v>Alex Padilla (Senate)</v>
    <v>7f531c9a-64f3-c8e6-afb0-26647030a74e</v>
    <v>en-US</v>
    <v>Generic</v>
  </rv>
  <rv s="0">
    <v>805306368</v>
    <v>Adam Schiff (Senate)</v>
    <v>d5c1a692-eb25-8c7a-976b-c75a43f36513</v>
    <v>en-US</v>
    <v>Generic</v>
  </rv>
  <rv s="3">
    <v>13</v>
  </rv>
  <rv s="4">
    <v>https://www.bing.com/search?q=california&amp;form=skydnc</v>
    <v>Learn more on Bing</v>
  </rv>
  <rv s="1">
    <fb>1255</fb>
    <v>12</v>
  </rv>
  <rv s="1">
    <fb>61818</fb>
    <v>12</v>
  </rv>
  <rv s="1">
    <fb>385500</fb>
    <v>12</v>
  </rv>
  <rv s="1">
    <fb>2.96</fb>
    <v>13</v>
  </rv>
  <rv s="1">
    <fb>39355309</fb>
    <v>11</v>
  </rv>
  <rv s="1">
    <fb>0.13300000000000001</fb>
    <v>14</v>
  </rv>
  <rv s="1">
    <fb>1.7000000000000001E-2</fb>
    <v>15</v>
  </rv>
  <rv s="1">
    <fb>0.14699999999999999</fb>
    <v>14</v>
  </rv>
  <rv s="1">
    <fb>0.314</fb>
    <v>14</v>
  </rv>
  <rv s="1">
    <fb>0.27</fb>
    <v>14</v>
  </rv>
  <rv s="1">
    <fb>0.81799999999999995</fb>
    <v>14</v>
  </rv>
  <rv s="1">
    <fb>0.63100000000000001</fb>
    <v>14</v>
  </rv>
  <rv s="1">
    <fb>5.0000000000000001E-3</fb>
    <v>14</v>
  </rv>
  <rv s="1">
    <fb>6.8000000000000005E-2</fb>
    <v>14</v>
  </rv>
  <rv s="1">
    <fb>3.7999999999999999E-2</fb>
    <v>14</v>
  </rv>
  <rv s="1">
    <fb>0.23300000000000001</fb>
    <v>14</v>
  </rv>
  <rv s="1">
    <fb>6.4000000000000001E-2</fb>
    <v>14</v>
  </rv>
  <rv s="1">
    <fb>0.72900000000000009</fb>
    <v>14</v>
  </rv>
  <rv s="3">
    <v>14</v>
  </rv>
  <rv s="5">
    <v>#VALUE!</v>
    <v>en-US</v>
    <v>3009d91d-d582-4c34-85ba-772ba09e5be1</v>
    <v>536870912</v>
    <v>1</v>
    <v>50</v>
    <v>5</v>
    <v>California</v>
    <v>7</v>
    <v>8</v>
    <v>Map</v>
    <v>9</v>
    <v>10</v>
    <v>US-CA</v>
    <v>244</v>
    <v>245</v>
    <v>246</v>
    <v>4</v>
    <v>California is a U.S. state in the Western United States that lies on the Pacific Coast. It borders Oregon to the north, and Nevada and Arizona to the east; it also shares an international border with the Mexican state of Baja California to the ...</v>
    <v>247</v>
    <v>248</v>
    <v>249</v>
    <v>250</v>
    <v>255</v>
    <v>256</v>
    <v>257</v>
    <v>258</v>
    <v>259</v>
    <v>California</v>
    <v>123</v>
    <v>260</v>
    <v>261</v>
    <v>34</v>
    <v>262</v>
    <v>263</v>
    <v>264</v>
    <v>265</v>
    <v>128</v>
    <v>266</v>
    <v>267</v>
    <v>65</v>
    <v>268</v>
    <v>269</v>
    <v>270</v>
    <v>271</v>
    <v>272</v>
    <v>273</v>
    <v>274</v>
    <v>275</v>
    <v>California</v>
    <v>mdp/vdpid/5599</v>
  </rv>
  <rv s="0">
    <v>536870912</v>
    <v>Ohio</v>
    <v>6f3df7da-1ef6-48e3-b2b3-b5b5fce3e846</v>
    <v>en-US</v>
    <v>Map</v>
  </rv>
  <rv s="1">
    <fb>116096</fb>
    <v>11</v>
  </rv>
  <rv s="1">
    <fb>22816</fb>
    <v>11</v>
  </rv>
  <rv s="0">
    <v>536870912</v>
    <v>Columbus, Ohio</v>
    <v>5b78da0b-6447-4f71-92b2-f1fafe94ba51</v>
    <v>en-US</v>
    <v>Map</v>
  </rv>
  <rv s="1">
    <fb>4585084</fb>
    <v>11</v>
  </rv>
  <rv s="1">
    <fb>5164361</fb>
    <v>11</v>
  </rv>
  <rv s="2">
    <v>8</v>
    <v>9</v>
    <v>51</v>
    <v>7</v>
    <v>0</v>
    <v>Image of Ohio</v>
  </rv>
  <rv s="0">
    <v>805306368</v>
    <v>Mike DeWine (Governor)</v>
    <v>ba3cf2bc-483c-6746-4369-a5b07e33c8ea</v>
    <v>en-US</v>
    <v>Generic</v>
  </rv>
  <rv s="0">
    <v>805306368</v>
    <v>Jim Tressel (Lieutenant governor)</v>
    <v>fea1d415-3b0b-3b02-731b-3b6f17db87c8</v>
    <v>en-US</v>
    <v>Generic</v>
  </rv>
  <rv s="0">
    <v>805306368</v>
    <v>Bernie Moreno (Senate)</v>
    <v>a07f18b9-2c29-cef5-821d-7fce7cac2551</v>
    <v>en-US</v>
    <v>Generic</v>
  </rv>
  <rv s="0">
    <v>805306368</v>
    <v>Jon Husted (Senate)</v>
    <v>98c16a0c-0820-d45d-b6c8-e3b9090fb0f6</v>
    <v>en-US</v>
    <v>Generic</v>
  </rv>
  <rv s="3">
    <v>15</v>
  </rv>
  <rv s="4">
    <v>https://www.bing.com/search?q=ohio&amp;form=skydnc</v>
    <v>Learn more on Bing</v>
  </rv>
  <rv s="1">
    <fb>730</fb>
    <v>12</v>
  </rv>
  <rv s="1">
    <fb>49429</fb>
    <v>12</v>
  </rv>
  <rv s="1">
    <fb>129900</fb>
    <v>12</v>
  </rv>
  <rv s="3">
    <v>16</v>
  </rv>
  <rv s="1">
    <fb>2.46</fb>
    <v>13</v>
  </rv>
  <rv s="1">
    <fb>11900510</fb>
    <v>11</v>
  </rv>
  <rv s="1">
    <fb>0.159</fb>
    <v>14</v>
  </rv>
  <rv s="1">
    <fb>3.0000000000000001E-3</fb>
    <v>15</v>
  </rv>
  <rv s="1">
    <fb>2.1000000000000001E-2</fb>
    <v>14</v>
  </rv>
  <rv s="1">
    <fb>0.26100000000000001</fb>
    <v>14</v>
  </rv>
  <rv s="1">
    <fb>0.127</fb>
    <v>14</v>
  </rv>
  <rv s="1">
    <fb>0.8909999999999999</fb>
    <v>14</v>
  </rv>
  <rv s="1">
    <fb>3.6000000000000004E-2</fb>
    <v>14</v>
  </rv>
  <rv s="1">
    <fb>0.63300000000000001</fb>
    <v>14</v>
  </rv>
  <rv s="1">
    <fb>9.9000000000000005E-2</fb>
    <v>14</v>
  </rv>
  <rv s="1">
    <fb>0.22600000000000001</fb>
    <v>14</v>
  </rv>
  <rv s="1">
    <fb>0.82700000000000007</fb>
    <v>14</v>
  </rv>
  <rv s="5">
    <v>#VALUE!</v>
    <v>en-US</v>
    <v>6f3df7da-1ef6-48e3-b2b3-b5b5fce3e846</v>
    <v>536870912</v>
    <v>1</v>
    <v>54</v>
    <v>5</v>
    <v>Ohio</v>
    <v>7</v>
    <v>8</v>
    <v>Map</v>
    <v>9</v>
    <v>10</v>
    <v>US-OH</v>
    <v>278</v>
    <v>279</v>
    <v>280</v>
    <v>4</v>
    <v>Ohio is a state in the Midwestern region of the United States. It borders the Canadian province of Ontario to the north, Pennsylvania to the east, West Virginia to the southeast, Kentucky to the southwest, Indiana to the west, and Michigan to ...</v>
    <v>281</v>
    <v>282</v>
    <v>283</v>
    <v>280</v>
    <v>288</v>
    <v>289</v>
    <v>290</v>
    <v>291</v>
    <v>292</v>
    <v>Ohio</v>
    <v>293</v>
    <v>294</v>
    <v>295</v>
    <v>236</v>
    <v>296</v>
    <v>297</v>
    <v>298</v>
    <v>299</v>
    <v>300</v>
    <v>231</v>
    <v>301</v>
    <v>302</v>
    <v>303</v>
    <v>30</v>
    <v>304</v>
    <v>298</v>
    <v>305</v>
    <v>205</v>
    <v>306</v>
    <v>36</v>
    <v>Ohio</v>
    <v>mdp/vdpid/24230</v>
  </rv>
  <rv s="0">
    <v>536870912</v>
    <v>Indiana</v>
    <v>109f7e5a-efbb-4953-b4b8-cb812ce1ff5d</v>
    <v>en-US</v>
    <v>Map</v>
  </rv>
  <rv s="1">
    <fb>94321</fb>
    <v>11</v>
  </rv>
  <rv s="1">
    <fb>18713</fb>
    <v>11</v>
  </rv>
  <rv s="0">
    <v>536870912</v>
    <v>Indianapolis</v>
    <v>28ad13c5-50fe-aae3-acb8-c5dea28be321</v>
    <v>en-US</v>
    <v>Map</v>
  </rv>
  <rv s="1">
    <fb>2501937</fb>
    <v>11</v>
  </rv>
  <rv s="1">
    <fb>2854546</fb>
    <v>11</v>
  </rv>
  <rv s="2">
    <v>9</v>
    <v>9</v>
    <v>55</v>
    <v>7</v>
    <v>0</v>
    <v>Image of Indiana</v>
  </rv>
  <rv s="0">
    <v>805306368</v>
    <v>Mike Braun (Governor)</v>
    <v>de1d9849-f100-7e2b-f9b6-052d6838f115</v>
    <v>en-US</v>
    <v>Generic</v>
  </rv>
  <rv s="0">
    <v>805306368</v>
    <v>Micah Beckwith (Lieutenant governor)</v>
    <v>18bc7343-e4d4-d24b-ad00-f21f062048d6</v>
    <v>en-US</v>
    <v>Generic</v>
  </rv>
  <rv s="0">
    <v>805306368</v>
    <v>Todd Young (Senate)</v>
    <v>644a3110-22ae-349f-f81c-51fb401698e3</v>
    <v>en-US</v>
    <v>Generic</v>
  </rv>
  <rv s="0">
    <v>805306368</v>
    <v>Jim Banks (Senate)</v>
    <v>c44f0d80-3165-3119-6782-4286d5dcfc9e</v>
    <v>en-US</v>
    <v>Generic</v>
  </rv>
  <rv s="3">
    <v>17</v>
  </rv>
  <rv s="4">
    <v>https://www.bing.com/search?q=indiana&amp;form=skydnc</v>
    <v>Learn more on Bing</v>
  </rv>
  <rv s="1">
    <fb>745</fb>
    <v>12</v>
  </rv>
  <rv s="1">
    <fb>49255</fb>
    <v>12</v>
  </rv>
  <rv s="1">
    <fb>124200</fb>
    <v>12</v>
  </rv>
  <rv s="1">
    <fb>6973333</fb>
    <v>11</v>
  </rv>
  <rv s="1">
    <fb>0.14599999999999999</fb>
    <v>14</v>
  </rv>
  <rv s="1">
    <fb>0.24100000000000002</fb>
    <v>14</v>
  </rv>
  <rv s="1">
    <fb>9.6000000000000002E-2</fb>
    <v>14</v>
  </rv>
  <rv s="1">
    <fb>4.8000000000000001E-2</fb>
    <v>14</v>
  </rv>
  <rv s="1">
    <fb>0.878</fb>
    <v>14</v>
  </rv>
  <rv s="1">
    <fb>6.7000000000000004E-2</fb>
    <v>14</v>
  </rv>
  <rv s="1">
    <fb>0.63900000000000001</fb>
    <v>14</v>
  </rv>
  <rv s="1">
    <fb>9.6999999999999989E-2</fb>
    <v>14</v>
  </rv>
  <rv s="1">
    <fb>0.23899999999999999</fb>
    <v>14</v>
  </rv>
  <rv s="1">
    <fb>6.3E-2</fb>
    <v>14</v>
  </rv>
  <rv s="1">
    <fb>0.85799999999999998</fb>
    <v>14</v>
  </rv>
  <rv s="3">
    <v>18</v>
  </rv>
  <rv s="5">
    <v>#VALUE!</v>
    <v>en-US</v>
    <v>109f7e5a-efbb-4953-b4b8-cb812ce1ff5d</v>
    <v>536870912</v>
    <v>1</v>
    <v>58</v>
    <v>5</v>
    <v>Indiana</v>
    <v>7</v>
    <v>8</v>
    <v>Map</v>
    <v>9</v>
    <v>10</v>
    <v>US-IN</v>
    <v>309</v>
    <v>310</v>
    <v>311</v>
    <v>4</v>
    <v>Indiana is a state in the Midwestern region of the United States. It borders Lake Michigan to the northwest, Michigan to the north and northeast, Ohio to the east, the Ohio River and Kentucky to the south and southeast, and the Wabash River and ...</v>
    <v>312</v>
    <v>313</v>
    <v>314</v>
    <v>311</v>
    <v>319</v>
    <v>320</v>
    <v>321</v>
    <v>322</v>
    <v>323</v>
    <v>Indiana</v>
    <v>17</v>
    <v>191</v>
    <v>324</v>
    <v>32</v>
    <v>325</v>
    <v>161</v>
    <v>298</v>
    <v>326</v>
    <v>327</v>
    <v>328</v>
    <v>329</v>
    <v>330</v>
    <v>331</v>
    <v>30</v>
    <v>332</v>
    <v>68</v>
    <v>333</v>
    <v>334</v>
    <v>335</v>
    <v>336</v>
    <v>Indiana</v>
    <v>mdp/vdpid/14882</v>
  </rv>
  <rv s="0">
    <v>536870912</v>
    <v>Tennessee</v>
    <v>9bbc9c72-1bf1-4ef6-b66d-a6cdef70f4f3</v>
    <v>en-US</v>
    <v>Map</v>
  </rv>
  <rv s="1">
    <fb>109247</fb>
    <v>11</v>
  </rv>
  <rv s="1">
    <fb>36157</fb>
    <v>11</v>
  </rv>
  <rv s="0">
    <v>536870912</v>
    <v>Nashville, Tennessee</v>
    <v>e2accb9d-ccea-5b7c-7bbc-0db831476d61</v>
    <v>en-US</v>
    <v>Map</v>
  </rv>
  <rv s="1">
    <fb>2504556</fb>
    <v>11</v>
  </rv>
  <rv s="1">
    <fb>2919671</fb>
    <v>11</v>
  </rv>
  <rv s="2">
    <v>10</v>
    <v>9</v>
    <v>59</v>
    <v>7</v>
    <v>0</v>
    <v>Image of Tennessee</v>
  </rv>
  <rv s="0">
    <v>805306368</v>
    <v>Bill Lee (Governor)</v>
    <v>c8026be6-06ae-4f73-a92b-038dc03243c9</v>
    <v>en-US</v>
    <v>Generic</v>
  </rv>
  <rv s="0">
    <v>805306368</v>
    <v>Randy McNally (Lieutenant governor)</v>
    <v>eec243e8-886e-f143-44f8-d1a613dc6e71</v>
    <v>en-US</v>
    <v>Generic</v>
  </rv>
  <rv s="0">
    <v>805306368</v>
    <v>Marsha Blackburn (Senate)</v>
    <v>39117d39-6448-55ce-8537-67a4fd4cf0e9</v>
    <v>en-US</v>
    <v>Generic</v>
  </rv>
  <rv s="0">
    <v>805306368</v>
    <v>Bill Hagerty (Senate)</v>
    <v>48790b3f-20d0-51ec-537c-ca6c25fff853</v>
    <v>en-US</v>
    <v>Generic</v>
  </rv>
  <rv s="3">
    <v>19</v>
  </rv>
  <rv s="4">
    <v>https://www.bing.com/search?q=tennessee&amp;form=skydnc</v>
    <v>Learn more on Bing</v>
  </rv>
  <rv s="1">
    <fb>764</fb>
    <v>12</v>
  </rv>
  <rv s="1">
    <fb>45219</fb>
    <v>12</v>
  </rv>
  <rv s="1">
    <fb>142100</fb>
    <v>12</v>
  </rv>
  <rv s="1">
    <fb>7315076</fb>
    <v>11</v>
  </rv>
  <rv s="1">
    <fb>0.249</fb>
    <v>14</v>
  </rv>
  <rv s="1">
    <fb>0.17100000000000001</fb>
    <v>14</v>
  </rv>
  <rv s="1">
    <fb>0.85499999999999998</fb>
    <v>14</v>
  </rv>
  <rv s="1">
    <fb>0.61</fb>
    <v>14</v>
  </rv>
  <rv s="1">
    <fb>0.78799999999999992</fb>
    <v>14</v>
  </rv>
  <rv s="5">
    <v>#VALUE!</v>
    <v>en-US</v>
    <v>9bbc9c72-1bf1-4ef6-b66d-a6cdef70f4f3</v>
    <v>536870912</v>
    <v>1</v>
    <v>62</v>
    <v>5</v>
    <v>Tennessee</v>
    <v>7</v>
    <v>8</v>
    <v>Map</v>
    <v>9</v>
    <v>10</v>
    <v>US-TN</v>
    <v>339</v>
    <v>340</v>
    <v>341</v>
    <v>4</v>
    <v>Tennessee, officially the State of Tennessee, is a landlocked state in the Southeastern region of the United States. It borders Kentucky to the north, Virginia to the northeast, North Carolina to the east, Georgia, Alabama, and Mississippi to ...</v>
    <v>342</v>
    <v>343</v>
    <v>344</v>
    <v>341</v>
    <v>349</v>
    <v>350</v>
    <v>351</v>
    <v>352</v>
    <v>353</v>
    <v>Tennessee</v>
    <v>123</v>
    <v>18</v>
    <v>354</v>
    <v>328</v>
    <v>21</v>
    <v>161</v>
    <v>167</v>
    <v>355</v>
    <v>356</v>
    <v>328</v>
    <v>357</v>
    <v>103</v>
    <v>358</v>
    <v>30</v>
    <v>28</v>
    <v>167</v>
    <v>204</v>
    <v>137</v>
    <v>359</v>
    <v>336</v>
    <v>Tennessee</v>
    <v>mdp/vdpid/33025</v>
  </rv>
  <rv s="0">
    <v>536870912</v>
    <v>New Hampshire</v>
    <v>9ca71997-cc97-46eb-8911-fac32f80b0b1</v>
    <v>en-US</v>
    <v>Map</v>
  </rv>
  <rv s="1">
    <fb>24214</fb>
    <v>11</v>
  </rv>
  <rv s="1">
    <fb>3796</fb>
    <v>11</v>
  </rv>
  <rv s="0">
    <v>536870912</v>
    <v>Concord, New Hampshire</v>
    <v>d65980fb-3dad-44a3-6f66-92662eca6d4f</v>
    <v>en-US</v>
    <v>Map</v>
  </rv>
  <rv s="1">
    <fb>520251</fb>
    <v>11</v>
  </rv>
  <rv s="1">
    <fb>625307</fb>
    <v>11</v>
  </rv>
  <rv s="2">
    <v>11</v>
    <v>9</v>
    <v>63</v>
    <v>7</v>
    <v>0</v>
    <v>Image of New Hampshire</v>
  </rv>
  <rv s="0">
    <v>536870912</v>
    <v>Manchester, New Hampshire</v>
    <v>f86d8a4e-96a6-418e-8b73-417f59efae56</v>
    <v>en-US</v>
    <v>Map</v>
  </rv>
  <rv s="0">
    <v>805306368</v>
    <v>Kelly Ayotte (Governor)</v>
    <v>22e78637-0632-f40b-8a78-3d6b73927e68</v>
    <v>en-US</v>
    <v>Generic</v>
  </rv>
  <rv s="0">
    <v>805306368</v>
    <v>Jeanne Shaheen (Senate)</v>
    <v>c278a5cb-da61-5373-662f-cabd9a88a1d6</v>
    <v>en-US</v>
    <v>Generic</v>
  </rv>
  <rv s="0">
    <v>805306368</v>
    <v>Maggie Hassan (Senate)</v>
    <v>79e38386-9baa-29e2-1c79-c4c02b113213</v>
    <v>en-US</v>
    <v>Generic</v>
  </rv>
  <rv s="3">
    <v>20</v>
  </rv>
  <rv s="4">
    <v>https://www.bing.com/search?q=new+hampshire&amp;form=skydnc</v>
    <v>Learn more on Bing</v>
  </rv>
  <rv s="1">
    <fb>1000</fb>
    <v>12</v>
  </rv>
  <rv s="1">
    <fb>66779</fb>
    <v>12</v>
  </rv>
  <rv s="1">
    <fb>237300</fb>
    <v>12</v>
  </rv>
  <rv s="1">
    <fb>2.4700000000000002</fb>
    <v>13</v>
  </rv>
  <rv s="1">
    <fb>1415342</fb>
    <v>11</v>
  </rv>
  <rv s="1">
    <fb>0.16500000000000001</fb>
    <v>14</v>
  </rv>
  <rv s="1">
    <fb>2.6000000000000002E-2</fb>
    <v>14</v>
  </rv>
  <rv s="1">
    <fb>0.34899999999999998</fb>
    <v>14</v>
  </rv>
  <rv s="1">
    <fb>1.4999999999999999E-2</fb>
    <v>14</v>
  </rv>
  <rv s="1">
    <fb>5.7000000000000002E-2</fb>
    <v>14</v>
  </rv>
  <rv s="1">
    <fb>0.92299999999999993</fb>
    <v>14</v>
  </rv>
  <rv s="1">
    <fb>3.4000000000000002E-2</fb>
    <v>14</v>
  </rv>
  <rv s="1">
    <fb>0.68200000000000005</fb>
    <v>14</v>
  </rv>
  <rv s="1">
    <fb>8.5000000000000006E-2</fb>
    <v>14</v>
  </rv>
  <rv s="1">
    <fb>0.19800000000000001</fb>
    <v>14</v>
  </rv>
  <rv s="1">
    <fb>0.93900000000000006</fb>
    <v>14</v>
  </rv>
  <rv s="8">
    <v>#VALUE!</v>
    <v>en-US</v>
    <v>9ca71997-cc97-46eb-8911-fac32f80b0b1</v>
    <v>536870912</v>
    <v>1</v>
    <v>66</v>
    <v>67</v>
    <v>New Hampshire</v>
    <v>7</v>
    <v>8</v>
    <v>Map</v>
    <v>9</v>
    <v>36</v>
    <v>US-NH</v>
    <v>362</v>
    <v>363</v>
    <v>364</v>
    <v>4</v>
    <v>New Hampshire is a state in the New England region of the Northeastern United States. It borders Massachusetts to the south, Vermont to the west, Maine and the Gulf of Maine to the east, and the Canadian province of Quebec to the north. Of the ...</v>
    <v>365</v>
    <v>366</v>
    <v>367</v>
    <v>368</v>
    <v>372</v>
    <v>373</v>
    <v>374</v>
    <v>375</v>
    <v>376</v>
    <v>New Hampshire</v>
    <v>123</v>
    <v>377</v>
    <v>378</v>
    <v>196</v>
    <v>379</v>
    <v>297</v>
    <v>380</v>
    <v>381</v>
    <v>382</v>
    <v>383</v>
    <v>384</v>
    <v>385</v>
    <v>386</v>
    <v>387</v>
    <v>162</v>
    <v>388</v>
    <v>171</v>
    <v>389</v>
    <v>36</v>
    <v>New Hampshire</v>
    <v>mdp/vdpid/23097</v>
  </rv>
  <rv s="0">
    <v>536870912</v>
    <v>Rhode Island</v>
    <v>65a08f52-b469-4f7c-8353-9b3c0b2a5752</v>
    <v>en-US</v>
    <v>Map</v>
  </rv>
  <rv s="1">
    <fb>3144.2455650000002</fb>
    <v>11</v>
  </rv>
  <rv s="1">
    <fb>1226</fb>
    <v>11</v>
  </rv>
  <rv s="0">
    <v>536870912</v>
    <v>Providence, Rhode Island</v>
    <v>956379de-1782-455c-b2d8-1ba81c8965f1</v>
    <v>en-US</v>
    <v>Map</v>
  </rv>
  <rv s="1">
    <fb>410602</fb>
    <v>11</v>
  </rv>
  <rv s="1">
    <fb>462589</fb>
    <v>11</v>
  </rv>
  <rv s="2">
    <v>12</v>
    <v>9</v>
    <v>68</v>
    <v>7</v>
    <v>0</v>
    <v>Image of Rhode Island</v>
  </rv>
  <rv s="0">
    <v>805306368</v>
    <v>Dan McKee (Governor)</v>
    <v>dbda6271-5323-1082-afca-f6c640e2a2a2</v>
    <v>en-US</v>
    <v>Generic</v>
  </rv>
  <rv s="0">
    <v>805306368</v>
    <v>Sabina Matos (Lieutenant governor)</v>
    <v>9b5119d4-a14a-3b55-5548-376bb727ab80</v>
    <v>en-US</v>
    <v>Generic</v>
  </rv>
  <rv s="0">
    <v>805306368</v>
    <v>Jack Reed (Senate)</v>
    <v>402abf68-b3e4-7e09-a397-b2c9d89166ae</v>
    <v>en-US</v>
    <v>Generic</v>
  </rv>
  <rv s="0">
    <v>805306368</v>
    <v>Sheldon Whitehouse (Senate)</v>
    <v>b0cc302b-997e-48d1-af93-bbbca84296b4</v>
    <v>en-US</v>
    <v>Generic</v>
  </rv>
  <rv s="3">
    <v>21</v>
  </rv>
  <rv s="4">
    <v>https://www.bing.com/search?q=rhode+island&amp;form=skydnc</v>
    <v>Learn more on Bing</v>
  </rv>
  <rv s="1">
    <fb>925</fb>
    <v>12</v>
  </rv>
  <rv s="1">
    <fb>56852</fb>
    <v>12</v>
  </rv>
  <rv s="1">
    <fb>238000</fb>
    <v>12</v>
  </rv>
  <rv s="3">
    <v>22</v>
  </rv>
  <rv s="1">
    <fb>1114521</fb>
    <v>11</v>
  </rv>
  <rv s="1">
    <fb>3.0000000000000001E-3</fb>
    <v>14</v>
  </rv>
  <rv s="1">
    <fb>0.161</fb>
    <v>14</v>
  </rv>
  <rv s="1">
    <fb>0.31900000000000001</fb>
    <v>14</v>
  </rv>
  <rv s="1">
    <fb>0.86199999999999999</fb>
    <v>14</v>
  </rv>
  <rv s="1">
    <fb>0.65500000000000003</fb>
    <v>14</v>
  </rv>
  <rv s="1">
    <fb>2E-3</fb>
    <v>14</v>
  </rv>
  <rv s="1">
    <fb>0.2</fb>
    <v>14</v>
  </rv>
  <rv s="1">
    <fb>0.84799999999999998</fb>
    <v>14</v>
  </rv>
  <rv s="5">
    <v>#VALUE!</v>
    <v>en-US</v>
    <v>65a08f52-b469-4f7c-8353-9b3c0b2a5752</v>
    <v>536870912</v>
    <v>1</v>
    <v>71</v>
    <v>5</v>
    <v>Rhode Island</v>
    <v>7</v>
    <v>8</v>
    <v>Map</v>
    <v>9</v>
    <v>10</v>
    <v>US-RI</v>
    <v>392</v>
    <v>393</v>
    <v>394</v>
    <v>4</v>
    <v>Rhode Island is a state in the New England region of the Northeastern United States. It borders Connecticut to its west; Massachusetts to its north and east; and the Atlantic Ocean to its south via Rhode Island Sound and Block Island Sound; and ...</v>
    <v>395</v>
    <v>396</v>
    <v>397</v>
    <v>394</v>
    <v>402</v>
    <v>403</v>
    <v>404</v>
    <v>405</v>
    <v>406</v>
    <v>Rhode Island</v>
    <v>407</v>
    <v>294</v>
    <v>408</v>
    <v>409</v>
    <v>410</v>
    <v>59</v>
    <v>302</v>
    <v>411</v>
    <v>31</v>
    <v>262</v>
    <v>412</v>
    <v>228</v>
    <v>413</v>
    <v>414</v>
    <v>237</v>
    <v>380</v>
    <v>415</v>
    <v>103</v>
    <v>416</v>
    <v>36</v>
    <v>Rhode Island</v>
    <v>mdp/vdpid/27664</v>
  </rv>
  <rv s="0">
    <v>536870912</v>
    <v>Pennsylvania</v>
    <v>6304580e-c803-4266-818a-971619176547</v>
    <v>en-US</v>
    <v>Map</v>
  </rv>
  <rv s="1">
    <fb>119283</fb>
    <v>11</v>
  </rv>
  <rv s="1">
    <fb>23303</fb>
    <v>11</v>
  </rv>
  <rv s="0">
    <v>536870912</v>
    <v>Harrisburg, Pennsylvania</v>
    <v>c0411c8e-89cf-5f47-d2f3-d5e52d320fff</v>
    <v>en-US</v>
    <v>Map</v>
  </rv>
  <rv s="1">
    <fb>4958859</fb>
    <v>11</v>
  </rv>
  <rv s="1">
    <fb>5612002</fb>
    <v>11</v>
  </rv>
  <rv s="2">
    <v>13</v>
    <v>9</v>
    <v>72</v>
    <v>7</v>
    <v>0</v>
    <v>Image of Pennsylvania</v>
  </rv>
  <rv s="0">
    <v>536870912</v>
    <v>Philadelphia</v>
    <v>020d4bbf-2971-4236-b87d-c3ec1d7f851c</v>
    <v>en-US</v>
    <v>Map</v>
  </rv>
  <rv s="0">
    <v>805306368</v>
    <v>Josh Shapiro (Governor)</v>
    <v>53262225-ea14-3f9e-bd31-7e9b978d5e27</v>
    <v>en-US</v>
    <v>Generic</v>
  </rv>
  <rv s="0">
    <v>805306368</v>
    <v>Austin Davis (Lieutenant governor)</v>
    <v>9d043ecc-c40b-67e4-0b39-b0df6bdd7dec</v>
    <v>en-US</v>
    <v>Generic</v>
  </rv>
  <rv s="0">
    <v>805306368</v>
    <v>John Fetterman (Senate)</v>
    <v>0def1c22-1608-cc63-a1a2-07cb8272777b</v>
    <v>en-US</v>
    <v>Generic</v>
  </rv>
  <rv s="0">
    <v>805306368</v>
    <v>Dave McCormick (Senate)</v>
    <v>a00de8fd-32df-41f2-a4f1-02d9e795bc19</v>
    <v>en-US</v>
    <v>Generic</v>
  </rv>
  <rv s="3">
    <v>23</v>
  </rv>
  <rv s="4">
    <v>https://www.bing.com/search?q=pennsylvania&amp;form=skydnc</v>
    <v>Learn more on Bing</v>
  </rv>
  <rv s="1">
    <fb>840</fb>
    <v>12</v>
  </rv>
  <rv s="1">
    <fb>53599</fb>
    <v>12</v>
  </rv>
  <rv s="1">
    <fb>166000</fb>
    <v>12</v>
  </rv>
  <rv s="1">
    <fb>2.4900000000000002</fb>
    <v>13</v>
  </rv>
  <rv s="1">
    <fb>13059432</fb>
    <v>11</v>
  </rv>
  <rv s="1">
    <fb>6.0000000000000001E-3</fb>
    <v>14</v>
  </rv>
  <rv s="1">
    <fb>0.17</fb>
    <v>14</v>
  </rv>
  <rv s="1">
    <fb>0.28600000000000003</fb>
    <v>14</v>
  </rv>
  <rv s="1">
    <fb>0.89200000000000002</fb>
    <v>14</v>
  </rv>
  <rv s="1">
    <fb>0.628</fb>
    <v>14</v>
  </rv>
  <rv s="1">
    <fb>9.5000000000000001E-2</fb>
    <v>14</v>
  </rv>
  <rv s="1">
    <fb>0.21</fb>
    <v>14</v>
  </rv>
  <rv s="1">
    <fb>5.5999999999999994E-2</fb>
    <v>14</v>
  </rv>
  <rv s="1">
    <fb>0.82599999999999996</fb>
    <v>14</v>
  </rv>
  <rv s="5">
    <v>#VALUE!</v>
    <v>en-US</v>
    <v>6304580e-c803-4266-818a-971619176547</v>
    <v>536870912</v>
    <v>1</v>
    <v>75</v>
    <v>5</v>
    <v>Pennsylvania</v>
    <v>7</v>
    <v>8</v>
    <v>Map</v>
    <v>9</v>
    <v>10</v>
    <v>US-PA</v>
    <v>419</v>
    <v>420</v>
    <v>421</v>
    <v>4</v>
    <v>Pennsylvania, officially the Commonwealth of Pennsylvania, is a state located in the Mid-Atlantic, Northeastern, Appalachian, and Great Lakes regions of the United States. The state borders Delaware to its southeast, Maryland to its south, ...</v>
    <v>422</v>
    <v>423</v>
    <v>424</v>
    <v>425</v>
    <v>430</v>
    <v>431</v>
    <v>432</v>
    <v>433</v>
    <v>434</v>
    <v>Pennsylvania</v>
    <v>17</v>
    <v>435</v>
    <v>436</v>
    <v>437</v>
    <v>438</v>
    <v>161</v>
    <v>385</v>
    <v>439</v>
    <v>58</v>
    <v>334</v>
    <v>440</v>
    <v>270</v>
    <v>441</v>
    <v>30</v>
    <v>442</v>
    <v>68</v>
    <v>443</v>
    <v>444</v>
    <v>445</v>
    <v>36</v>
    <v>Pennsylvania</v>
    <v>mdp/vdpid/25623</v>
  </rv>
  <rv s="0">
    <v>536870912</v>
    <v>Colorado</v>
    <v>a070c5c2-b22d-41d8-b869-f20e583c4f80</v>
    <v>en-US</v>
    <v>Map</v>
  </rv>
  <rv s="1">
    <fb>269837</fb>
    <v>11</v>
  </rv>
  <rv s="1">
    <fb>38974</fb>
    <v>11</v>
  </rv>
  <rv s="0">
    <v>536870912</v>
    <v>Denver</v>
    <v>5a7229b6-72d3-4bfc-a95e-9c35e297c9ff</v>
    <v>en-US</v>
    <v>Map</v>
  </rv>
  <rv s="1">
    <fb>2024468</fb>
    <v>11</v>
  </rv>
  <rv s="1">
    <fb>2339118</fb>
    <v>11</v>
  </rv>
  <rv s="2">
    <v>14</v>
    <v>9</v>
    <v>76</v>
    <v>7</v>
    <v>0</v>
    <v>Image of Colorado</v>
  </rv>
  <rv s="0">
    <v>805306368</v>
    <v>Jared Polis (Governor)</v>
    <v>5a81ae6e-56e8-4cd2-95d3-f7a1b60eaa75</v>
    <v>en-US</v>
    <v>Generic</v>
  </rv>
  <rv s="0">
    <v>805306368</v>
    <v>Dianne Primavera (Lieutenant governor)</v>
    <v>f4e53c30-335f-00af-307f-4f95e90798de</v>
    <v>en-US</v>
    <v>Generic</v>
  </rv>
  <rv s="0">
    <v>805306368</v>
    <v>Michael Bennet (Senate)</v>
    <v>93548716-afc5-5fee-8c7d-c4b9489b4d26</v>
    <v>en-US</v>
    <v>Generic</v>
  </rv>
  <rv s="0">
    <v>805306368</v>
    <v>John Hickenlooper (Senate)</v>
    <v>a8a5bd30-12ce-eafc-0b7b-cc41fa0d798d</v>
    <v>en-US</v>
    <v>Generic</v>
  </rv>
  <rv s="3">
    <v>24</v>
  </rv>
  <rv s="4">
    <v>https://www.bing.com/search?q=colorado&amp;form=skydnc</v>
    <v>Learn more on Bing</v>
  </rv>
  <rv s="1">
    <fb>1002</fb>
    <v>12</v>
  </rv>
  <rv s="1">
    <fb>60629</fb>
    <v>12</v>
  </rv>
  <rv s="1">
    <fb>247800</fb>
    <v>12</v>
  </rv>
  <rv s="1">
    <fb>6012561</fb>
    <v>11</v>
  </rv>
  <rv s="1">
    <fb>0.10199999999999999</fb>
    <v>14</v>
  </rv>
  <rv s="1">
    <fb>0.13</fb>
    <v>14</v>
  </rv>
  <rv s="1">
    <fb>1.6E-2</fb>
    <v>15</v>
  </rv>
  <rv s="1">
    <fb>3.2000000000000001E-2</fb>
    <v>14</v>
  </rv>
  <rv s="1">
    <fb>0.38100000000000001</fb>
    <v>14</v>
  </rv>
  <rv s="1">
    <fb>4.4999999999999998E-2</fb>
    <v>14</v>
  </rv>
  <rv s="1">
    <fb>9.8000000000000004E-2</fb>
    <v>14</v>
  </rv>
  <rv s="1">
    <fb>0.90700000000000003</fb>
    <v>14</v>
  </rv>
  <rv s="1">
    <fb>0.67599999999999993</fb>
    <v>14</v>
  </rv>
  <rv s="1">
    <fb>0.23</fb>
    <v>14</v>
  </rv>
  <rv s="1">
    <fb>0.875</fb>
    <v>14</v>
  </rv>
  <rv s="3">
    <v>25</v>
  </rv>
  <rv s="5">
    <v>#VALUE!</v>
    <v>en-US</v>
    <v>a070c5c2-b22d-41d8-b869-f20e583c4f80</v>
    <v>536870912</v>
    <v>1</v>
    <v>79</v>
    <v>5</v>
    <v>Colorado</v>
    <v>7</v>
    <v>8</v>
    <v>Map</v>
    <v>9</v>
    <v>10</v>
    <v>US-CO</v>
    <v>448</v>
    <v>449</v>
    <v>450</v>
    <v>4</v>
    <v>Colorado is a landlocked state in the Mountain West subregion of the Western United States. It is one of the Mountain states, and part of the Southwestern United States, sharing the Four Corners region with Arizona, New Mexico, and Utah. It is ...</v>
    <v>451</v>
    <v>452</v>
    <v>453</v>
    <v>450</v>
    <v>458</v>
    <v>459</v>
    <v>460</v>
    <v>461</v>
    <v>462</v>
    <v>Colorado</v>
    <v>123</v>
    <v>191</v>
    <v>463</v>
    <v>464</v>
    <v>465</v>
    <v>466</v>
    <v>467</v>
    <v>468</v>
    <v>469</v>
    <v>470</v>
    <v>471</v>
    <v>102</v>
    <v>472</v>
    <v>414</v>
    <v>70</v>
    <v>135</v>
    <v>473</v>
    <v>239</v>
    <v>474</v>
    <v>475</v>
    <v>Colorado</v>
    <v>mdp/vdpid/7636</v>
  </rv>
  <rv s="0">
    <v>536870912</v>
    <v>New York</v>
    <v>caeb7b9a-f5d7-4686-8fb5-cf7628296b13</v>
    <v>en-US</v>
    <v>Map</v>
  </rv>
  <rv s="1">
    <fb>141300</fb>
    <v>11</v>
  </rv>
  <rv s="1">
    <fb>33711</fb>
    <v>11</v>
  </rv>
  <rv s="0">
    <v>536870912</v>
    <v>Albany, New York</v>
    <v>62ca8245-972e-448d-af38-345d4a958798</v>
    <v>en-US</v>
    <v>Map</v>
  </rv>
  <rv s="1">
    <fb>7262279</fb>
    <v>11</v>
  </rv>
  <rv s="1">
    <fb>8231687</fb>
    <v>11</v>
  </rv>
  <rv s="2">
    <v>15</v>
    <v>9</v>
    <v>80</v>
    <v>7</v>
    <v>0</v>
    <v>Image of New York</v>
  </rv>
  <rv s="0">
    <v>536870912</v>
    <v>New York City</v>
    <v>60d5dc2b-c915-460b-b722-c9e3485499ca</v>
    <v>en-US</v>
    <v>Map</v>
  </rv>
  <rv s="0">
    <v>805306368</v>
    <v>Kathy Hochul (Governor)</v>
    <v>df92839d-3205-3454-b70c-aeefc37041a6</v>
    <v>en-US</v>
    <v>Generic</v>
  </rv>
  <rv s="0">
    <v>805306368</v>
    <v>Antonio Delgado (Lieutenant governor)</v>
    <v>c20a119d-42bf-2146-a5a5-f4ec19b8a648</v>
    <v>en-US</v>
    <v>Generic</v>
  </rv>
  <rv s="0">
    <v>805306368</v>
    <v>Chuck Schumer (Senate)</v>
    <v>d606edaa-bebe-be4b-5e66-17b8a58806b2</v>
    <v>en-US</v>
    <v>Generic</v>
  </rv>
  <rv s="0">
    <v>805306368</v>
    <v>Kirsten Gillibrand (Senate)</v>
    <v>ae592704-1bd7-e270-aa09-cb6ec83b3467</v>
    <v>en-US</v>
    <v>Generic</v>
  </rv>
  <rv s="3">
    <v>26</v>
  </rv>
  <rv s="4">
    <v>https://www.bing.com/search?q=new+york+state&amp;form=skydnc</v>
    <v>Learn more on Bing</v>
  </rv>
  <rv s="1">
    <fb>1132</fb>
    <v>12</v>
  </rv>
  <rv s="1">
    <fb>59269</fb>
    <v>12</v>
  </rv>
  <rv s="1">
    <fb>283400</fb>
    <v>12</v>
  </rv>
  <rv s="1">
    <fb>2.63</fb>
    <v>13</v>
  </rv>
  <rv s="1">
    <fb>20002427</fb>
    <v>11</v>
  </rv>
  <rv s="1">
    <fb>0.15</fb>
    <v>14</v>
  </rv>
  <rv s="1">
    <fb>8.8000000000000009E-2</fb>
    <v>14</v>
  </rv>
  <rv s="1">
    <fb>0.34200000000000003</fb>
    <v>14</v>
  </rv>
  <rv s="1">
    <fb>0.85599999999999998</fb>
    <v>14</v>
  </rv>
  <rv s="1">
    <fb>0.188</fb>
    <v>14</v>
  </rv>
  <rv s="1">
    <fb>7.400000000000001E-2</fb>
    <v>14</v>
  </rv>
  <rv s="1">
    <fb>2.4E-2</fb>
    <v>14</v>
  </rv>
  <rv s="1">
    <fb>0.70099999999999996</fb>
    <v>14</v>
  </rv>
  <rv s="6">
    <v>#VALUE!</v>
    <v>en-US</v>
    <v>caeb7b9a-f5d7-4686-8fb5-cf7628296b13</v>
    <v>536870912</v>
    <v>1</v>
    <v>83</v>
    <v>20</v>
    <v>New York</v>
    <v>7</v>
    <v>8</v>
    <v>Map</v>
    <v>9</v>
    <v>10</v>
    <v>US-NY</v>
    <v>478</v>
    <v>479</v>
    <v>480</v>
    <v>4</v>
    <v>New York, also called New York State, is a state located in the northeastern United States. Bordering the New England states to its east, Pennsylvania and New Jersey to its south, and the Canadian provinces of Quebec and Ontario to its north, ...</v>
    <v>481</v>
    <v>482</v>
    <v>483</v>
    <v>484</v>
    <v>489</v>
    <v>490</v>
    <v>491</v>
    <v>492</v>
    <v>493</v>
    <v>New York</v>
    <v>494</v>
    <v>495</v>
    <v>68</v>
    <v>496</v>
    <v>59</v>
    <v>497</v>
    <v>498</v>
    <v>160</v>
    <v>238</v>
    <v>499</v>
    <v>500</v>
    <v>303</v>
    <v>30</v>
    <v>501</v>
    <v>502</v>
    <v>102</v>
    <v>205</v>
    <v>503</v>
    <v>36</v>
    <v>New York</v>
    <v>mdp/vdpid/23161</v>
  </rv>
  <rv s="0">
    <v>536870912</v>
    <v>Utah</v>
    <v>c6705e44-d27f-4240-95a2-54e802e3b524</v>
    <v>en-US</v>
    <v>Map</v>
  </rv>
  <rv s="1">
    <fb>219653</fb>
    <v>11</v>
  </rv>
  <rv s="1">
    <fb>22662</fb>
    <v>11</v>
  </rv>
  <rv s="0">
    <v>536870912</v>
    <v>Salt Lake City</v>
    <v>520b8048-39fe-4c55-8cbf-a52f9d8756fd</v>
    <v>en-US</v>
    <v>Map</v>
  </rv>
  <rv s="1">
    <fb>906292</fb>
    <v>11</v>
  </rv>
  <rv s="1">
    <fb>1054164</fb>
    <v>11</v>
  </rv>
  <rv s="2">
    <v>16</v>
    <v>9</v>
    <v>84</v>
    <v>7</v>
    <v>0</v>
    <v>Image of Utah</v>
  </rv>
  <rv s="0">
    <v>805306368</v>
    <v>Spencer Cox (Governor)</v>
    <v>b8df5066-fb62-3092-d3d5-fa1d766c0409</v>
    <v>en-US</v>
    <v>Generic</v>
  </rv>
  <rv s="0">
    <v>805306368</v>
    <v>Deidre Henderson (Lieutenant governor)</v>
    <v>644c1a0f-9cad-8cd7-ecd2-aa31b63f12c0</v>
    <v>en-US</v>
    <v>Generic</v>
  </rv>
  <rv s="0">
    <v>805306368</v>
    <v>Mike Lee (Senate)</v>
    <v>f5c85f74-0fbe-5ce1-327f-195c4ef26152</v>
    <v>en-US</v>
    <v>Generic</v>
  </rv>
  <rv s="0">
    <v>805306368</v>
    <v>John Curtis (Senate)</v>
    <v>9fcdc54d-156a-8cde-8ee6-0614a68038b7</v>
    <v>en-US</v>
    <v>Generic</v>
  </rv>
  <rv s="3">
    <v>27</v>
  </rv>
  <rv s="4">
    <v>https://www.bing.com/search?q=utah&amp;form=skydnc</v>
    <v>Learn more on Bing</v>
  </rv>
  <rv s="1">
    <fb>887</fb>
    <v>12</v>
  </rv>
  <rv s="1">
    <fb>60727</fb>
    <v>12</v>
  </rv>
  <rv s="1">
    <fb>215900</fb>
    <v>12</v>
  </rv>
  <rv s="1">
    <fb>3.15</fb>
    <v>13</v>
  </rv>
  <rv s="1">
    <fb>3538904</fb>
    <v>11</v>
  </rv>
  <rv s="1">
    <fb>0.10400000000000001</fb>
    <v>14</v>
  </rv>
  <rv s="1">
    <fb>0.10300000000000001</fb>
    <v>14</v>
  </rv>
  <rv s="1">
    <fb>1.4999999999999999E-2</fb>
    <v>15</v>
  </rv>
  <rv s="1">
    <fb>2.5000000000000001E-2</fb>
    <v>14</v>
  </rv>
  <rv s="1">
    <fb>0.311</fb>
    <v>14</v>
  </rv>
  <rv s="1">
    <fb>0.91200000000000003</fb>
    <v>14</v>
  </rv>
  <rv s="1">
    <fb>0.13699999999999998</fb>
    <v>14</v>
  </rv>
  <rv s="1">
    <fb>0.67700000000000005</fb>
    <v>14</v>
  </rv>
  <rv s="1">
    <fb>0.01</fb>
    <v>14</v>
  </rv>
  <rv s="1">
    <fb>0.30499999999999999</fb>
    <v>14</v>
  </rv>
  <rv s="3">
    <v>28</v>
  </rv>
  <rv s="5">
    <v>#VALUE!</v>
    <v>en-US</v>
    <v>c6705e44-d27f-4240-95a2-54e802e3b524</v>
    <v>536870912</v>
    <v>1</v>
    <v>87</v>
    <v>5</v>
    <v>Utah</v>
    <v>7</v>
    <v>8</v>
    <v>Map</v>
    <v>9</v>
    <v>10</v>
    <v>US-UT</v>
    <v>506</v>
    <v>507</v>
    <v>508</v>
    <v>4</v>
    <v>Utah is a landlocked state in the Mountain West subregion of the Western United States. It is one of the Four Corners states, sharing a border with Arizona, Colorado, and New Mexico. It also borders Wyoming to the northeast, Idaho to the north, ...</v>
    <v>509</v>
    <v>510</v>
    <v>511</v>
    <v>508</v>
    <v>516</v>
    <v>517</v>
    <v>518</v>
    <v>519</v>
    <v>520</v>
    <v>Utah</v>
    <v>123</v>
    <v>521</v>
    <v>522</v>
    <v>523</v>
    <v>524</v>
    <v>525</v>
    <v>526</v>
    <v>527</v>
    <v>164</v>
    <v>25</v>
    <v>528</v>
    <v>529</v>
    <v>530</v>
    <v>531</v>
    <v>23</v>
    <v>502</v>
    <v>532</v>
    <v>25</v>
    <v>528</v>
    <v>533</v>
    <v>Utah</v>
    <v>mdp/vdpid/34626</v>
  </rv>
  <rv s="0">
    <v>536870912</v>
    <v>Georgia</v>
    <v>84604bc7-2c47-4f8d-8ea5-b6ac8c018a20</v>
    <v>en-US</v>
    <v>Map</v>
  </rv>
  <rv s="1">
    <fb>153909</fb>
    <v>11</v>
  </rv>
  <rv s="1">
    <fb>51675</fb>
    <v>11</v>
  </rv>
  <rv s="0">
    <v>536870912</v>
    <v>Atlanta</v>
    <v>1a92f3fa-61f9-4e89-b606-40c945cf18d1</v>
    <v>en-US</v>
    <v>Map</v>
  </rv>
  <rv s="1">
    <fb>3574362</fb>
    <v>11</v>
  </rv>
  <rv s="1">
    <fb>4218776</fb>
    <v>11</v>
  </rv>
  <rv s="2">
    <v>17</v>
    <v>9</v>
    <v>88</v>
    <v>7</v>
    <v>0</v>
    <v>Image of Georgia</v>
  </rv>
  <rv s="0">
    <v>805306368</v>
    <v>Brian Kemp (Governor)</v>
    <v>6dd4f848-98dc-60f8-90b2-87c7458743fa</v>
    <v>en-US</v>
    <v>Generic</v>
  </rv>
  <rv s="0">
    <v>805306368</v>
    <v>Burt Jones (Lieutenant governor)</v>
    <v>abaf10be-2391-4b78-4c82-8c17faa8bf28</v>
    <v>en-US</v>
    <v>Generic</v>
  </rv>
  <rv s="0">
    <v>805306368</v>
    <v>Jon Ossoff (Senate)</v>
    <v>9ae32dca-f3b6-c1bc-169f-72008326cb39</v>
    <v>en-US</v>
    <v>Generic</v>
  </rv>
  <rv s="0">
    <v>805306368</v>
    <v>Raphael Warnock (Senate)</v>
    <v>b1bcb7a9-0286-c285-5a23-52559dfc1b6a</v>
    <v>en-US</v>
    <v>Generic</v>
  </rv>
  <rv s="3">
    <v>29</v>
  </rv>
  <rv s="4">
    <v>https://www.bing.com/search?q=georgia+u+s+state&amp;form=skydnc</v>
    <v>Learn more on Bing</v>
  </rv>
  <rv s="1">
    <fb>879</fb>
    <v>12</v>
  </rv>
  <rv s="1">
    <fb>49620</fb>
    <v>12</v>
  </rv>
  <rv s="1">
    <fb>148100</fb>
    <v>12</v>
  </rv>
  <rv s="1">
    <fb>2.73</fb>
    <v>13</v>
  </rv>
  <rv s="1">
    <fb>11302748</fb>
    <v>11</v>
  </rv>
  <rv s="1">
    <fb>0.128</fb>
    <v>14</v>
  </rv>
  <rv s="1">
    <fb>0.28800000000000003</fb>
    <v>14</v>
  </rv>
  <rv s="1">
    <fb>0.317</fb>
    <v>14</v>
  </rv>
  <rv s="1">
    <fb>0.85400000000000009</fb>
    <v>14</v>
  </rv>
  <rv s="1">
    <fb>9.4E-2</fb>
    <v>14</v>
  </rv>
  <rv s="1">
    <fb>0.623</fb>
    <v>14</v>
  </rv>
  <rv s="1">
    <fb>0.02</fb>
    <v>14</v>
  </rv>
  <rv s="1">
    <fb>0.245</fb>
    <v>14</v>
  </rv>
  <rv s="1">
    <fb>0.61599999999999999</fb>
    <v>14</v>
  </rv>
  <rv s="5">
    <v>#VALUE!</v>
    <v>en-US</v>
    <v>84604bc7-2c47-4f8d-8ea5-b6ac8c018a20</v>
    <v>536870912</v>
    <v>1</v>
    <v>91</v>
    <v>5</v>
    <v>Georgia</v>
    <v>7</v>
    <v>8</v>
    <v>Map</v>
    <v>9</v>
    <v>10</v>
    <v>US-GA</v>
    <v>536</v>
    <v>537</v>
    <v>538</v>
    <v>4</v>
    <v>Georgia is a state in the Southeastern, South Atlantic, and Deep South regions of the United States. It borders Tennessee to the northwest, North Carolina and South Carolina to the northeast, the Atlantic Ocean to the east, Florida to the south, ...</v>
    <v>539</v>
    <v>540</v>
    <v>541</v>
    <v>538</v>
    <v>546</v>
    <v>547</v>
    <v>548</v>
    <v>549</v>
    <v>550</v>
    <v>Georgia</v>
    <v>123</v>
    <v>551</v>
    <v>552</v>
    <v>273</v>
    <v>553</v>
    <v>22</v>
    <v>20</v>
    <v>554</v>
    <v>555</v>
    <v>470</v>
    <v>556</v>
    <v>557</v>
    <v>558</v>
    <v>30</v>
    <v>497</v>
    <v>559</v>
    <v>560</v>
    <v>128</v>
    <v>561</v>
    <v>36</v>
    <v>Georgia</v>
    <v>mdp/vdpid/12004</v>
  </rv>
  <rv s="0">
    <v>536870912</v>
    <v>Florida</v>
    <v>5fece3f4-e8e8-4159-843e-f725a930ad50</v>
    <v>en-US</v>
    <v>Map</v>
  </rv>
  <rv s="1">
    <fb>170304</fb>
    <v>11</v>
  </rv>
  <rv s="1">
    <fb>116240</fb>
    <v>11</v>
  </rv>
  <rv s="0">
    <v>536870912</v>
    <v>Tallahassee, Florida</v>
    <v>fe8036d9-2764-4483-9405-f07a59b69915</v>
    <v>en-US</v>
    <v>Map</v>
  </rv>
  <rv s="1">
    <fb>7300494</fb>
    <v>11</v>
  </rv>
  <rv s="1">
    <fb>9301642</fb>
    <v>11</v>
  </rv>
  <rv s="2">
    <v>18</v>
    <v>9</v>
    <v>92</v>
    <v>7</v>
    <v>0</v>
    <v>Image of Florida</v>
  </rv>
  <rv s="0">
    <v>536870912</v>
    <v>Jacksonville, Florida</v>
    <v>8bd6021b-ea7f-4470-a29b-042b1c82e07f</v>
    <v>en-US</v>
    <v>Map</v>
  </rv>
  <rv s="0">
    <v>805306368</v>
    <v>Ron DeSantis (Governor)</v>
    <v>1ed346c3-9ad7-8e78-ae55-5ed54b15749a</v>
    <v>en-US</v>
    <v>Generic</v>
  </rv>
  <rv s="0">
    <v>805306368</v>
    <v>Jay Collins (Lieutenant governor)</v>
    <v>5499b10f-5c98-1598-0b7f-fa67b08337f3</v>
    <v>en-US</v>
    <v>Generic</v>
  </rv>
  <rv s="0">
    <v>805306368</v>
    <v>Rick Scott (Senate)</v>
    <v>7a306d31-0926-baab-a271-b42913720a93</v>
    <v>en-US</v>
    <v>Generic</v>
  </rv>
  <rv s="0">
    <v>805306368</v>
    <v>Ashley Moody (Senate)</v>
    <v>65cb4204-9d4c-cb8d-a4f0-22efc12fd008</v>
    <v>en-US</v>
    <v>Generic</v>
  </rv>
  <rv s="3">
    <v>30</v>
  </rv>
  <rv s="4">
    <v>https://www.bing.com/search?q=florida&amp;form=skydnc</v>
    <v>Learn more on Bing</v>
  </rv>
  <rv s="1">
    <fb>47507</fb>
    <v>12</v>
  </rv>
  <rv s="1">
    <fb>159000</fb>
    <v>12</v>
  </rv>
  <rv s="1">
    <fb>23462518</fb>
    <v>11</v>
  </rv>
  <rv s="1">
    <fb>0.19399999999999998</fb>
    <v>14</v>
  </rv>
  <rv s="1">
    <fb>2.7999999999999997E-2</fb>
    <v>14</v>
  </rv>
  <rv s="1">
    <fb>0.27300000000000002</fb>
    <v>14</v>
  </rv>
  <rv s="1">
    <fb>0.16800000000000001</fb>
    <v>14</v>
  </rv>
  <rv s="1">
    <fb>0.86900000000000011</fb>
    <v>14</v>
  </rv>
  <rv s="1">
    <fb>0.58799999999999997</fb>
    <v>14</v>
  </rv>
  <rv s="1">
    <fb>0.20300000000000001</fb>
    <v>14</v>
  </rv>
  <rv s="1">
    <fb>0.77700000000000002</fb>
    <v>14</v>
  </rv>
  <rv s="5">
    <v>#VALUE!</v>
    <v>en-US</v>
    <v>5fece3f4-e8e8-4159-843e-f725a930ad50</v>
    <v>536870912</v>
    <v>1</v>
    <v>95</v>
    <v>5</v>
    <v>Florida</v>
    <v>7</v>
    <v>8</v>
    <v>Map</v>
    <v>9</v>
    <v>10</v>
    <v>US-FL</v>
    <v>564</v>
    <v>565</v>
    <v>566</v>
    <v>4</v>
    <v>Florida is a state in the Southeastern and South Atlantic regions of the United States. It borders the Gulf of Mexico to the west, Alabama to the northwest, Georgia to the north, the Atlantic Ocean to the east, the Straits of Florida to the ...</v>
    <v>567</v>
    <v>568</v>
    <v>569</v>
    <v>570</v>
    <v>575</v>
    <v>576</v>
    <v>460</v>
    <v>577</v>
    <v>578</v>
    <v>Florida</v>
    <v>123</v>
    <v>494</v>
    <v>579</v>
    <v>327</v>
    <v>580</v>
    <v>22</v>
    <v>581</v>
    <v>582</v>
    <v>583</v>
    <v>130</v>
    <v>584</v>
    <v>560</v>
    <v>585</v>
    <v>30</v>
    <v>387</v>
    <v>559</v>
    <v>586</v>
    <v>34</v>
    <v>587</v>
    <v>336</v>
    <v>Florida</v>
    <v>mdp/vdpid/11032</v>
  </rv>
  <rv s="0">
    <v>536870912</v>
    <v>North Carolina</v>
    <v>9e2bf053-dd80-4646-8f26-65075e7085c0</v>
    <v>en-US</v>
    <v>Map</v>
  </rv>
  <rv s="1">
    <fb>139390</fb>
    <v>11</v>
  </rv>
  <rv s="1">
    <fb>60550</fb>
    <v>11</v>
  </rv>
  <rv s="0">
    <v>536870912</v>
    <v>Raleigh, North Carolina</v>
    <v>7b706445-83c5-46a4-bb70-cff23cd555d3</v>
    <v>en-US</v>
    <v>Map</v>
  </rv>
  <rv s="1">
    <fb>3775581</fb>
    <v>11</v>
  </rv>
  <rv s="1">
    <fb>4540498</fb>
    <v>11</v>
  </rv>
  <rv s="2">
    <v>19</v>
    <v>9</v>
    <v>96</v>
    <v>7</v>
    <v>0</v>
    <v>Image of North Carolina</v>
  </rv>
  <rv s="0">
    <v>536870912</v>
    <v>Charlotte, North Carolina</v>
    <v>e6558399-4151-4390-ad12-f2a72b268ce7</v>
    <v>en-US</v>
    <v>Map</v>
  </rv>
  <rv s="0">
    <v>805306368</v>
    <v>Josh Stein (Governor)</v>
    <v>bd9e85b8-9788-a6bb-f6f8-da4439010652</v>
    <v>en-US</v>
    <v>Generic</v>
  </rv>
  <rv s="0">
    <v>805306368</v>
    <v>Rachel Hunt (Lieutenant governor)</v>
    <v>7a115748-1b0e-73d2-e474-930c4c40a56c</v>
    <v>en-US</v>
    <v>Generic</v>
  </rv>
  <rv s="0">
    <v>805306368</v>
    <v>Thom Tillis (Senate)</v>
    <v>2f3de2c4-5375-4957-ae4e-f7b61b1ad7da</v>
    <v>en-US</v>
    <v>Generic</v>
  </rv>
  <rv s="0">
    <v>805306368</v>
    <v>Ted Budd (Senate)</v>
    <v>45ffd2c1-154a-426a-adb2-4685e39394cd</v>
    <v>en-US</v>
    <v>Generic</v>
  </rv>
  <rv s="3">
    <v>31</v>
  </rv>
  <rv s="4">
    <v>https://www.bing.com/search?q=north+carolina&amp;form=skydnc</v>
    <v>Learn more on Bing</v>
  </rv>
  <rv s="1">
    <fb>797</fb>
    <v>12</v>
  </rv>
  <rv s="1">
    <fb>46868</fb>
    <v>12</v>
  </rv>
  <rv s="1">
    <fb>154900</fb>
    <v>12</v>
  </rv>
  <rv s="1">
    <fb>2.54</fb>
    <v>13</v>
  </rv>
  <rv s="1">
    <fb>11197968</fb>
    <v>11</v>
  </rv>
  <rv s="1">
    <fb>0.151</fb>
    <v>14</v>
  </rv>
  <rv s="1">
    <fb>0.28399999999999997</fb>
    <v>14</v>
  </rv>
  <rv s="1">
    <fb>0.221</fb>
    <v>14</v>
  </rv>
  <rv s="1">
    <fb>9.0999999999999998E-2</fb>
    <v>14</v>
  </rv>
  <rv s="1">
    <fb>0.61799999999999999</fb>
    <v>14</v>
  </rv>
  <rv s="1">
    <fb>0.22800000000000001</fb>
    <v>14</v>
  </rv>
  <rv s="1">
    <fb>0.71200000000000008</fb>
    <v>14</v>
  </rv>
  <rv s="5">
    <v>#VALUE!</v>
    <v>en-US</v>
    <v>9e2bf053-dd80-4646-8f26-65075e7085c0</v>
    <v>536870912</v>
    <v>1</v>
    <v>99</v>
    <v>5</v>
    <v>North Carolina</v>
    <v>7</v>
    <v>8</v>
    <v>Map</v>
    <v>9</v>
    <v>10</v>
    <v>US-NC</v>
    <v>590</v>
    <v>591</v>
    <v>592</v>
    <v>4</v>
    <v>North Carolina is a state in the Southeastern and South Atlantic regions of the United States. It is bordered by Virginia to the north, the Atlantic Ocean to the east, South Carolina to the south, Georgia to the southwest, and Tennessee to the ...</v>
    <v>593</v>
    <v>594</v>
    <v>595</v>
    <v>596</v>
    <v>601</v>
    <v>602</v>
    <v>603</v>
    <v>604</v>
    <v>605</v>
    <v>North Carolina</v>
    <v>123</v>
    <v>606</v>
    <v>607</v>
    <v>273</v>
    <v>608</v>
    <v>466</v>
    <v>581</v>
    <v>609</v>
    <v>610</v>
    <v>134</v>
    <v>335</v>
    <v>611</v>
    <v>612</v>
    <v>30</v>
    <v>327</v>
    <v>298</v>
    <v>613</v>
    <v>205</v>
    <v>614</v>
    <v>36</v>
    <v>North Carolina</v>
    <v>mdp/vdpid/23611</v>
  </rv>
  <rv s="0">
    <v>536870912</v>
    <v>Kentucky</v>
    <v>108dfd18-4626-481a-8dfa-18f64e6eac84</v>
    <v>en-US</v>
    <v>Map</v>
  </rv>
  <rv s="1">
    <fb>104659</fb>
    <v>11</v>
  </rv>
  <rv s="1">
    <fb>12714</fb>
    <v>11</v>
  </rv>
  <rv s="0">
    <v>536870912</v>
    <v>Frankfort, Kentucky</v>
    <v>77808127-2585-ed16-992f-4dbf7cb32377</v>
    <v>en-US</v>
    <v>Map</v>
  </rv>
  <rv s="1">
    <fb>1708499</fb>
    <v>11</v>
  </rv>
  <rv s="1">
    <fb>1965556</fb>
    <v>11</v>
  </rv>
  <rv s="2">
    <v>20</v>
    <v>9</v>
    <v>100</v>
    <v>7</v>
    <v>0</v>
    <v>Image of Kentucky</v>
  </rv>
  <rv s="0">
    <v>536870912</v>
    <v>Louisville, Kentucky</v>
    <v>1bc669d8-9310-926f-25b9-880f75cd4247</v>
    <v>en-US</v>
    <v>Map</v>
  </rv>
  <rv s="0">
    <v>805306368</v>
    <v>Andy Beshear (Governor)</v>
    <v>b3d019c3-d02d-e300-b685-dad592322a24</v>
    <v>en-US</v>
    <v>Generic</v>
  </rv>
  <rv s="0">
    <v>805306368</v>
    <v>Jacqueline Coleman (Lieutenant governor)</v>
    <v>e703cb28-e073-92db-a598-7a547e2418d3</v>
    <v>en-US</v>
    <v>Generic</v>
  </rv>
  <rv s="0">
    <v>805306368</v>
    <v>Mitch McConnell (Senate)</v>
    <v>d7ef5149-eb90-bb30-5f10-3aa4c1193a2c</v>
    <v>en-US</v>
    <v>Generic</v>
  </rv>
  <rv s="0">
    <v>805306368</v>
    <v>Rand Paul (Senate)</v>
    <v>96f17cfa-d01d-e202-733b-d1f8ab63a1b9</v>
    <v>en-US</v>
    <v>Generic</v>
  </rv>
  <rv s="3">
    <v>32</v>
  </rv>
  <rv s="4">
    <v>https://www.bing.com/search?q=kentucky&amp;form=skydnc</v>
    <v>Learn more on Bing</v>
  </rv>
  <rv s="1">
    <fb>675</fb>
    <v>12</v>
  </rv>
  <rv s="1">
    <fb>43740</fb>
    <v>12</v>
  </rv>
  <rv s="1">
    <fb>123200</fb>
    <v>12</v>
  </rv>
  <rv s="1">
    <fb>2.5</fb>
    <v>13</v>
  </rv>
  <rv s="1">
    <fb>4606864</fb>
    <v>11</v>
  </rv>
  <rv s="1">
    <fb>0.152</fb>
    <v>14</v>
  </rv>
  <rv s="1">
    <fb>8.3000000000000004E-2</fb>
    <v>14</v>
  </rv>
  <rv s="1">
    <fb>0.84200000000000008</fb>
    <v>14</v>
  </rv>
  <rv s="1">
    <fb>0.59099999999999997</fb>
    <v>14</v>
  </rv>
  <rv s="1">
    <fb>0.129</fb>
    <v>14</v>
  </rv>
  <rv s="1">
    <fb>0.22899999999999998</fb>
    <v>14</v>
  </rv>
  <rv s="1">
    <fb>0.88099999999999989</fb>
    <v>14</v>
  </rv>
  <rv s="5">
    <v>#VALUE!</v>
    <v>en-US</v>
    <v>108dfd18-4626-481a-8dfa-18f64e6eac84</v>
    <v>536870912</v>
    <v>1</v>
    <v>103</v>
    <v>5</v>
    <v>Kentucky</v>
    <v>7</v>
    <v>8</v>
    <v>Map</v>
    <v>9</v>
    <v>10</v>
    <v>US-KY</v>
    <v>617</v>
    <v>618</v>
    <v>619</v>
    <v>4</v>
    <v>Kentucky, officially the Commonwealth of Kentucky, is a landlocked state in the Southeastern region of the United States. It borders Illinois, Indiana, and Ohio to the north, West Virginia to the northeast, Virginia to the east, Tennessee to the ...</v>
    <v>620</v>
    <v>621</v>
    <v>622</v>
    <v>623</v>
    <v>628</v>
    <v>629</v>
    <v>630</v>
    <v>631</v>
    <v>632</v>
    <v>Kentucky</v>
    <v>123</v>
    <v>633</v>
    <v>634</v>
    <v>101</v>
    <v>635</v>
    <v>297</v>
    <v>196</v>
    <v>136</v>
    <v>636</v>
    <v>385</v>
    <v>637</v>
    <v>385</v>
    <v>638</v>
    <v>30</v>
    <v>639</v>
    <v>167</v>
    <v>640</v>
    <v>334</v>
    <v>641</v>
    <v>36</v>
    <v>Kentucky</v>
    <v>mdp/vdpid/16480</v>
  </rv>
  <rv s="0">
    <v>536870912</v>
    <v>Idaho</v>
    <v>ecd30387-20fa-4523-9045-e2860154b5e9</v>
    <v>en-US</v>
    <v>Map</v>
  </rv>
  <rv s="1">
    <fb>216699</fb>
    <v>11</v>
  </rv>
  <rv s="1">
    <fb>12165</fb>
    <v>11</v>
  </rv>
  <rv s="0">
    <v>536870912</v>
    <v>Boise, Idaho</v>
    <v>1054a9b9-ef41-4b77-9953-f1ef16ec8015</v>
    <v>en-US</v>
    <v>Map</v>
  </rv>
  <rv s="1">
    <fb>589320</fb>
    <v>11</v>
  </rv>
  <rv s="1">
    <fb>700825</fb>
    <v>11</v>
  </rv>
  <rv s="2">
    <v>21</v>
    <v>9</v>
    <v>104</v>
    <v>7</v>
    <v>0</v>
    <v>Image of Idaho</v>
  </rv>
  <rv s="0">
    <v>805306368</v>
    <v>Brad Little (Governor)</v>
    <v>135ff875-8d96-6f51-3eae-347573bc2b5e</v>
    <v>en-US</v>
    <v>Generic</v>
  </rv>
  <rv s="0">
    <v>805306368</v>
    <v>Scott Bedke (Lieutenant governor)</v>
    <v>be8f5adf-6e01-67c0-5d19-fa17c594a297</v>
    <v>en-US</v>
    <v>Generic</v>
  </rv>
  <rv s="0">
    <v>805306368</v>
    <v>Mike Crapo (Senate)</v>
    <v>58e344ac-f5b6-a371-d18b-e84da803a187</v>
    <v>en-US</v>
    <v>Generic</v>
  </rv>
  <rv s="0">
    <v>805306368</v>
    <v>Jim Risch (Senate)</v>
    <v>efe1fdc7-bf51-3e76-dee8-ac3de7719f34</v>
    <v>en-US</v>
    <v>Generic</v>
  </rv>
  <rv s="3">
    <v>33</v>
  </rv>
  <rv s="4">
    <v>https://www.bing.com/search?q=idaho&amp;form=skydnc</v>
    <v>Learn more on Bing</v>
  </rv>
  <rv s="1">
    <fb>743</fb>
    <v>12</v>
  </rv>
  <rv s="1">
    <fb>47583</fb>
    <v>12</v>
  </rv>
  <rv s="1">
    <fb>162900</fb>
    <v>12</v>
  </rv>
  <rv s="1">
    <fb>2.69</fb>
    <v>13</v>
  </rv>
  <rv s="1">
    <fb>2029733</fb>
    <v>11</v>
  </rv>
  <rv s="1">
    <fb>0.25900000000000001</fb>
    <v>14</v>
  </rv>
  <rv s="1">
    <fb>8.0000000000000002E-3</fb>
    <v>14</v>
  </rv>
  <rv s="1">
    <fb>0.89500000000000002</fb>
    <v>14</v>
  </rv>
  <rv s="1">
    <fb>0.122</fb>
    <v>14</v>
  </rv>
  <rv s="1">
    <fb>0.626</fb>
    <v>14</v>
  </rv>
  <rv s="1">
    <fb>0.26200000000000001</fb>
    <v>14</v>
  </rv>
  <rv s="1">
    <fb>0.93400000000000005</fb>
    <v>14</v>
  </rv>
  <rv s="5">
    <v>#VALUE!</v>
    <v>en-US</v>
    <v>ecd30387-20fa-4523-9045-e2860154b5e9</v>
    <v>536870912</v>
    <v>1</v>
    <v>107</v>
    <v>5</v>
    <v>Idaho</v>
    <v>7</v>
    <v>8</v>
    <v>Map</v>
    <v>9</v>
    <v>10</v>
    <v>US-ID</v>
    <v>644</v>
    <v>645</v>
    <v>646</v>
    <v>4</v>
    <v>Idaho is a landlocked state in the Pacific Northwest and Mountain West subregions of the Western United States. It borders Montana and Wyoming to the east, Nevada and Utah to the south, and Washington and Oregon to the west; the state shares a ...</v>
    <v>647</v>
    <v>648</v>
    <v>649</v>
    <v>646</v>
    <v>654</v>
    <v>655</v>
    <v>656</v>
    <v>657</v>
    <v>658</v>
    <v>Idaho</v>
    <v>17</v>
    <v>659</v>
    <v>660</v>
    <v>501</v>
    <v>264</v>
    <v>263</v>
    <v>382</v>
    <v>661</v>
    <v>662</v>
    <v>137</v>
    <v>663</v>
    <v>664</v>
    <v>665</v>
    <v>414</v>
    <v>132</v>
    <v>32</v>
    <v>666</v>
    <v>270</v>
    <v>667</v>
    <v>241</v>
    <v>Idaho</v>
    <v>mdp/vdpid/14713</v>
  </rv>
  <rv s="0">
    <v>536870912</v>
    <v>Nevada</v>
    <v>c2157d7e-617e-4517-80f8-1b08113afc14</v>
    <v>en-US</v>
    <v>Map</v>
  </rv>
  <rv s="1">
    <fb>286380</fb>
    <v>11</v>
  </rv>
  <rv s="1">
    <fb>17952</fb>
    <v>11</v>
  </rv>
  <rv s="0">
    <v>536870912</v>
    <v>Carson City, Nevada</v>
    <v>f0c7f70e-d0c0-8645-b649-8550dc083057</v>
    <v>en-US</v>
    <v>Map</v>
  </rv>
  <rv s="1">
    <fb>1016709</fb>
    <v>11</v>
  </rv>
  <rv s="1">
    <fb>1221698</fb>
    <v>11</v>
  </rv>
  <rv s="2">
    <v>22</v>
    <v>9</v>
    <v>108</v>
    <v>7</v>
    <v>0</v>
    <v>Image of Nevada</v>
  </rv>
  <rv s="0">
    <v>536870912</v>
    <v>Las Vegas</v>
    <v>26dfb75a-3573-4ff8-bbb3-b8cadaea23a8</v>
    <v>en-US</v>
    <v>Map</v>
  </rv>
  <rv s="0">
    <v>805306368</v>
    <v>Joe Lombardo (Governor)</v>
    <v>65fbb35a-0e80-cfb3-c7b1-c64105f84476</v>
    <v>en-US</v>
    <v>Generic</v>
  </rv>
  <rv s="0">
    <v>805306368</v>
    <v>Stavros Anthony (Lieutenant governor)</v>
    <v>7faa710d-04ef-671a-5f0d-95ba24654786</v>
    <v>en-US</v>
    <v>Generic</v>
  </rv>
  <rv s="0">
    <v>805306368</v>
    <v>Catherine Cortez Masto (Senate)</v>
    <v>189fb541-01c0-7a3b-1707-d6ebf473b55d</v>
    <v>en-US</v>
    <v>Generic</v>
  </rv>
  <rv s="0">
    <v>805306368</v>
    <v>Jacky Rosen (Senate)</v>
    <v>f74e29f0-6285-515f-55ae-1ce802bf1aa4</v>
    <v>en-US</v>
    <v>Generic</v>
  </rv>
  <rv s="3">
    <v>34</v>
  </rv>
  <rv s="4">
    <v>https://www.bing.com/search?q=nevada&amp;form=skydnc</v>
    <v>Learn more on Bing</v>
  </rv>
  <rv s="1">
    <fb>973</fb>
    <v>12</v>
  </rv>
  <rv s="1">
    <fb>51847</fb>
    <v>12</v>
  </rv>
  <rv s="1">
    <fb>173700</fb>
    <v>12</v>
  </rv>
  <rv s="1">
    <fb>2.72</fb>
    <v>13</v>
  </rv>
  <rv s="1">
    <fb>3282188</fb>
    <v>11</v>
  </rv>
  <rv s="1">
    <fb>9.3000000000000013E-2</fb>
    <v>14</v>
  </rv>
  <rv s="1">
    <fb>0.85099999999999998</fb>
    <v>14</v>
  </rv>
  <rv s="1">
    <fb>0.28100000000000003</fb>
    <v>14</v>
  </rv>
  <rv s="1">
    <fb>0.64</fb>
    <v>14</v>
  </rv>
  <rv s="1">
    <fb>0.23100000000000001</fb>
    <v>14</v>
  </rv>
  <rv s="1">
    <fb>0.75700000000000001</fb>
    <v>14</v>
  </rv>
  <rv s="3">
    <v>35</v>
  </rv>
  <rv s="6">
    <v>#VALUE!</v>
    <v>en-US</v>
    <v>c2157d7e-617e-4517-80f8-1b08113afc14</v>
    <v>536870912</v>
    <v>1</v>
    <v>111</v>
    <v>20</v>
    <v>Nevada</v>
    <v>7</v>
    <v>8</v>
    <v>Map</v>
    <v>9</v>
    <v>10</v>
    <v>US-NV</v>
    <v>670</v>
    <v>671</v>
    <v>672</v>
    <v>4</v>
    <v>Nevada is a landlocked state in the Western United States. It is also sometimes placed in the Mountain West and Southwestern United States. It borders Idaho to the northeast, Oregon to the northwest, California to the west, Arizona to the ...</v>
    <v>673</v>
    <v>674</v>
    <v>675</v>
    <v>676</v>
    <v>681</v>
    <v>682</v>
    <v>683</v>
    <v>684</v>
    <v>685</v>
    <v>Nevada</v>
    <v>686</v>
    <v>687</v>
    <v>237</v>
    <v>325</v>
    <v>466</v>
    <v>387</v>
    <v>473</v>
    <v>688</v>
    <v>170</v>
    <v>689</v>
    <v>690</v>
    <v>691</v>
    <v>662</v>
    <v>132</v>
    <v>231</v>
    <v>692</v>
    <v>137</v>
    <v>693</v>
    <v>694</v>
    <v>Nevada</v>
    <v>mdp/vdpid/23035</v>
  </rv>
  <rv s="0">
    <v>536870912</v>
    <v>Montana</v>
    <v>447d6cd5-53f6-4c8f-bf6c-9ff228415c3b</v>
    <v>en-US</v>
    <v>Map</v>
  </rv>
  <rv s="1">
    <fb>381154</fb>
    <v>11</v>
  </rv>
  <rv s="1">
    <fb>4781</fb>
    <v>11</v>
  </rv>
  <rv s="0">
    <v>536870912</v>
    <v>Helena, Montana</v>
    <v>097df9b7-6962-dbe8-2072-661fa4996ede</v>
    <v>en-US</v>
    <v>Map</v>
  </rv>
  <rv s="1">
    <fb>409394</fb>
    <v>11</v>
  </rv>
  <rv s="1">
    <fb>497756</fb>
    <v>11</v>
  </rv>
  <rv s="2">
    <v>23</v>
    <v>9</v>
    <v>112</v>
    <v>7</v>
    <v>0</v>
    <v>Image of Montana</v>
  </rv>
  <rv s="0">
    <v>536870912</v>
    <v>Billings, Montana</v>
    <v>c0f552c6-eaaf-4d0b-806d-6017c2034bbb</v>
    <v>en-US</v>
    <v>Map</v>
  </rv>
  <rv s="0">
    <v>805306368</v>
    <v>Greg Gianforte (Governor)</v>
    <v>d6243525-cd8a-23f1-fe91-bca377dc4fe8</v>
    <v>en-US</v>
    <v>Generic</v>
  </rv>
  <rv s="0">
    <v>805306368</v>
    <v>Kristen Juras (Lieutenant governor)</v>
    <v>17151917-f12f-38da-5ee2-575494f79565</v>
    <v>en-US</v>
    <v>Generic</v>
  </rv>
  <rv s="0">
    <v>805306368</v>
    <v>Steve Daines (Senate)</v>
    <v>e1914ad2-d721-9e6d-119f-293a65a83734</v>
    <v>en-US</v>
    <v>Generic</v>
  </rv>
  <rv s="0">
    <v>805306368</v>
    <v>Tim Sheehy (Senate)</v>
    <v>8686bdc6-b5fa-bd6f-1dd0-50ce3ac82575</v>
    <v>en-US</v>
    <v>Generic</v>
  </rv>
  <rv s="3">
    <v>36</v>
  </rv>
  <rv s="4">
    <v>https://www.bing.com/search?q=montana&amp;form=skydnc</v>
    <v>Learn more on Bing</v>
  </rv>
  <rv s="1">
    <fb>711</fb>
    <v>12</v>
  </rv>
  <rv s="1">
    <fb>47169</fb>
    <v>12</v>
  </rv>
  <rv s="1">
    <fb>193500</fb>
    <v>12</v>
  </rv>
  <rv s="1">
    <fb>2.41</fb>
    <v>13</v>
  </rv>
  <rv s="1">
    <fb>1144694</fb>
    <v>11</v>
  </rv>
  <rv s="1">
    <fb>0.17199999999999999</fb>
    <v>14</v>
  </rv>
  <rv s="1">
    <fb>6.6000000000000003E-2</fb>
    <v>15</v>
  </rv>
  <rv s="1">
    <fb>0.29499999999999998</fb>
    <v>14</v>
  </rv>
  <rv s="1">
    <fb>0.92799999999999994</fb>
    <v>14</v>
  </rv>
  <rv s="1">
    <fb>0.63600000000000001</fb>
    <v>14</v>
  </rv>
  <rv s="1">
    <fb>2.7000000000000003E-2</fb>
    <v>14</v>
  </rv>
  <rv s="1">
    <fb>0.21899999999999997</fb>
    <v>14</v>
  </rv>
  <rv s="5">
    <v>#VALUE!</v>
    <v>en-US</v>
    <v>447d6cd5-53f6-4c8f-bf6c-9ff228415c3b</v>
    <v>536870912</v>
    <v>1</v>
    <v>115</v>
    <v>5</v>
    <v>Montana</v>
    <v>7</v>
    <v>8</v>
    <v>Map</v>
    <v>9</v>
    <v>10</v>
    <v>US-MT</v>
    <v>697</v>
    <v>698</v>
    <v>699</v>
    <v>4</v>
    <v>Montana is a landlocked state in the Mountain West subregion of the Western United States. It is bordered by Idaho to the west, North Dakota to the east, South Dakota to the southeast, Wyoming to the south, and the Canadian provinces of Alberta, ...</v>
    <v>700</v>
    <v>701</v>
    <v>702</v>
    <v>703</v>
    <v>708</v>
    <v>709</v>
    <v>710</v>
    <v>711</v>
    <v>712</v>
    <v>Montana</v>
    <v>123</v>
    <v>713</v>
    <v>714</v>
    <v>34</v>
    <v>715</v>
    <v>716</v>
    <v>662</v>
    <v>717</v>
    <v>437</v>
    <v>298</v>
    <v>718</v>
    <v>302</v>
    <v>719</v>
    <v>30</v>
    <v>611</v>
    <v>720</v>
    <v>721</v>
    <v>205</v>
    <v>440</v>
    <v>475</v>
    <v>Montana</v>
    <v>mdp/vdpid/21789</v>
  </rv>
  <rv s="0">
    <v>536870912</v>
    <v>Oregon</v>
    <v>cacd36fd-7c62-43e2-a632-64a2a1811933</v>
    <v>en-US</v>
    <v>Map</v>
  </rv>
  <rv s="1">
    <fb>255026</fb>
    <v>11</v>
  </rv>
  <rv s="1">
    <fb>19586</fb>
    <v>11</v>
  </rv>
  <rv s="0">
    <v>536870912</v>
    <v>Salem, Oregon</v>
    <v>181e3c46-a4b5-41c5-a74f-486f15e8dc58</v>
    <v>en-US</v>
    <v>Map</v>
  </rv>
  <rv s="1">
    <fb>1533430</fb>
    <v>11</v>
  </rv>
  <rv s="1">
    <fb>1732786</fb>
    <v>11</v>
  </rv>
  <rv s="2">
    <v>24</v>
    <v>9</v>
    <v>116</v>
    <v>7</v>
    <v>0</v>
    <v>Image of Oregon</v>
  </rv>
  <rv s="0">
    <v>536870912</v>
    <v>Portland, Oregon</v>
    <v>5658ef8a-9267-4851-b335-72bc82329a4e</v>
    <v>en-US</v>
    <v>Map</v>
  </rv>
  <rv s="0">
    <v>805306368</v>
    <v>Tina Kotek (Governor)</v>
    <v>84ac333f-9a13-39da-fbda-a943cbce407a</v>
    <v>en-US</v>
    <v>Generic</v>
  </rv>
  <rv s="0">
    <v>805306368</v>
    <v>Tobias Read (Secretary of state)</v>
    <v>d2353ea6-643d-7994-fd2e-422cdb39ef74</v>
    <v>en-US</v>
    <v>Generic</v>
  </rv>
  <rv s="0">
    <v>805306368</v>
    <v>Ron Wyden (Senate)</v>
    <v>d0e83019-c9b2-fd5a-a7c5-a65db12029f0</v>
    <v>en-US</v>
    <v>Generic</v>
  </rv>
  <rv s="0">
    <v>805306368</v>
    <v>Jeff Merkley (Senate)</v>
    <v>90fcbf22-b36e-14ad-e541-c9163134b536</v>
    <v>en-US</v>
    <v>Generic</v>
  </rv>
  <rv s="3">
    <v>37</v>
  </rv>
  <rv s="4">
    <v>https://www.bing.com/search?q=oregon&amp;form=skydnc</v>
    <v>Learn more on Bing</v>
  </rv>
  <rv s="1">
    <fb>907</fb>
    <v>12</v>
  </rv>
  <rv s="1">
    <fb>51243</fb>
    <v>12</v>
  </rv>
  <rv s="3">
    <v>38</v>
  </rv>
  <rv s="1">
    <fb>2.5099999999999998</fb>
    <v>13</v>
  </rv>
  <rv s="1">
    <fb>4273586</fb>
    <v>11</v>
  </rv>
  <rv s="1">
    <fb>0.16399999999999998</fb>
    <v>14</v>
  </rv>
  <rv s="1">
    <fb>1.8000000000000002E-2</fb>
    <v>15</v>
  </rv>
  <rv s="1">
    <fb>4.4000000000000004E-2</fb>
    <v>14</v>
  </rv>
  <rv s="1">
    <fb>0.308</fb>
    <v>14</v>
  </rv>
  <rv s="1">
    <fb>0.621</fb>
    <v>14</v>
  </rv>
  <rv s="1">
    <fb>4.0000000000000001E-3</fb>
    <v>14</v>
  </rv>
  <rv s="1">
    <fb>3.7000000000000005E-2</fb>
    <v>14</v>
  </rv>
  <rv s="1">
    <fb>0.214</fb>
    <v>14</v>
  </rv>
  <rv s="1">
    <fb>0.87599999999999989</fb>
    <v>14</v>
  </rv>
  <rv s="5">
    <v>#VALUE!</v>
    <v>en-US</v>
    <v>cacd36fd-7c62-43e2-a632-64a2a1811933</v>
    <v>536870912</v>
    <v>1</v>
    <v>119</v>
    <v>5</v>
    <v>Oregon</v>
    <v>7</v>
    <v>8</v>
    <v>Map</v>
    <v>9</v>
    <v>10</v>
    <v>US-OR</v>
    <v>724</v>
    <v>725</v>
    <v>726</v>
    <v>4</v>
    <v>Oregon is a state in the Pacific Northwest region of the United States. It is a part of the Western United States, with the Columbia River delineating much of Oregon's northern boundary with Washington, while the Snake River delineates much of ...</v>
    <v>727</v>
    <v>728</v>
    <v>729</v>
    <v>730</v>
    <v>735</v>
    <v>736</v>
    <v>737</v>
    <v>738</v>
    <v>376</v>
    <v>Oregon</v>
    <v>739</v>
    <v>740</v>
    <v>741</v>
    <v>270</v>
    <v>742</v>
    <v>743</v>
    <v>744</v>
    <v>745</v>
    <v>298</v>
    <v>304</v>
    <v>27</v>
    <v>300</v>
    <v>746</v>
    <v>747</v>
    <v>464</v>
    <v>748</v>
    <v>749</v>
    <v>383</v>
    <v>750</v>
    <v>275</v>
    <v>Oregon</v>
    <v>mdp/vdpid/24561</v>
  </rv>
  <rv s="0">
    <v>536870912</v>
    <v>North Dakota</v>
    <v>77fbc744-3efe-4aa9-9e8e-f8034f06b941</v>
    <v>en-US</v>
    <v>Map</v>
  </rv>
  <rv s="1">
    <fb>183108</fb>
    <v>11</v>
  </rv>
  <rv s="1">
    <fb>3981</fb>
    <v>11</v>
  </rv>
  <rv s="0">
    <v>536870912</v>
    <v>Bismarck, North Dakota</v>
    <v>9fa1be97-4895-ee5c-303c-a38472229e49</v>
    <v>en-US</v>
    <v>Map</v>
  </rv>
  <rv s="1">
    <fb>299638</fb>
    <v>11</v>
  </rv>
  <rv s="1">
    <fb>368624</fb>
    <v>11</v>
  </rv>
  <rv s="2">
    <v>25</v>
    <v>9</v>
    <v>120</v>
    <v>7</v>
    <v>0</v>
    <v>Image of North Dakota</v>
  </rv>
  <rv s="0">
    <v>536870912</v>
    <v>Fargo, North Dakota</v>
    <v>4886dae3-b8ea-4b19-b601-d775aa06fa2d</v>
    <v>en-US</v>
    <v>Map</v>
  </rv>
  <rv s="0">
    <v>805306368</v>
    <v>Kelly Armstrong (Governor)</v>
    <v>1df10c1e-1bed-08b3-3695-08680dca35a1</v>
    <v>en-US</v>
    <v>Generic</v>
  </rv>
  <rv s="0">
    <v>805306368</v>
    <v>Michelle Strinden (Lieutenant governor)</v>
    <v>262db778-902a-c9f8-daf4-2921d4eb468b</v>
    <v>en-US</v>
    <v>Generic</v>
  </rv>
  <rv s="0">
    <v>805306368</v>
    <v>John Hoeven (Senate)</v>
    <v>85e5e57d-2809-2bd0-7756-27fc8ab1bbcc</v>
    <v>en-US</v>
    <v>Generic</v>
  </rv>
  <rv s="0">
    <v>805306368</v>
    <v>Kevin Cramer (Senate)</v>
    <v>42d1db50-a889-f567-7dfe-0836dce6034c</v>
    <v>en-US</v>
    <v>Generic</v>
  </rv>
  <rv s="3">
    <v>39</v>
  </rv>
  <rv s="4">
    <v>https://www.bing.com/search?q=north+dakota&amp;form=skydnc</v>
    <v>Learn more on Bing</v>
  </rv>
  <rv s="1">
    <fb>709</fb>
    <v>12</v>
  </rv>
  <rv s="1">
    <fb>57181</fb>
    <v>12</v>
  </rv>
  <rv s="1">
    <fb>153800</fb>
    <v>12</v>
  </rv>
  <rv s="1">
    <fb>2.3199999999999998</fb>
    <v>13</v>
  </rv>
  <rv s="1">
    <fb>799358</fb>
    <v>11</v>
  </rv>
  <rv s="1">
    <fb>5.5E-2</fb>
    <v>15</v>
  </rv>
  <rv s="1">
    <fb>0.27699999999999997</fb>
    <v>14</v>
  </rv>
  <rv s="1">
    <fb>0.91700000000000004</fb>
    <v>14</v>
  </rv>
  <rv s="1">
    <fb>0.69299999999999995</fb>
    <v>14</v>
  </rv>
  <rv s="1">
    <fb>7.0000000000000007E-2</fb>
    <v>14</v>
  </rv>
  <rv s="1">
    <fb>0.8859999999999999</fb>
    <v>14</v>
  </rv>
  <rv s="3">
    <v>40</v>
  </rv>
  <rv s="5">
    <v>#VALUE!</v>
    <v>en-US</v>
    <v>77fbc744-3efe-4aa9-9e8e-f8034f06b941</v>
    <v>536870912</v>
    <v>1</v>
    <v>123</v>
    <v>5</v>
    <v>North Dakota</v>
    <v>7</v>
    <v>8</v>
    <v>Map</v>
    <v>9</v>
    <v>10</v>
    <v>US-ND</v>
    <v>753</v>
    <v>754</v>
    <v>755</v>
    <v>4</v>
    <v>North Dakota is a landlocked U.S. state in the Upper Midwest, named after the indigenous Dakota and Sioux peoples. It is bordered by the Canadian provinces of Saskatchewan and Manitoba to the north and by the U.S. states of Minnesota to the ...</v>
    <v>756</v>
    <v>757</v>
    <v>758</v>
    <v>759</v>
    <v>764</v>
    <v>765</v>
    <v>766</v>
    <v>767</v>
    <v>768</v>
    <v>North Dakota</v>
    <v>123</v>
    <v>769</v>
    <v>770</v>
    <v>300</v>
    <v>127</v>
    <v>771</v>
    <v>196</v>
    <v>772</v>
    <v>502</v>
    <v>467</v>
    <v>773</v>
    <v>199</v>
    <v>774</v>
    <v>30</v>
    <v>270</v>
    <v>298</v>
    <v>473</v>
    <v>775</v>
    <v>776</v>
    <v>777</v>
    <v>North Dakota</v>
    <v>mdp/vdpid/23624</v>
  </rv>
  <rv s="0">
    <v>536870912</v>
    <v>Arizona</v>
    <v>bf973f46-5962-4997-a7ba-a05f1aa2a9f9</v>
    <v>en-US</v>
    <v>Map</v>
  </rv>
  <rv s="1">
    <fb>295234</fb>
    <v>11</v>
  </rv>
  <rv s="1">
    <fb>35578</fb>
    <v>11</v>
  </rv>
  <rv s="0">
    <v>536870912</v>
    <v>Phoenix, Arizona</v>
    <v>b06044c3-41e1-4e2a-bba7-27a29bba8ea9</v>
    <v>en-US</v>
    <v>Map</v>
  </rv>
  <rv s="1">
    <fb>2412212</fb>
    <v>11</v>
  </rv>
  <rv s="1">
    <fb>2961003</fb>
    <v>11</v>
  </rv>
  <rv s="2">
    <v>26</v>
    <v>9</v>
    <v>124</v>
    <v>7</v>
    <v>0</v>
    <v>Image of Arizona</v>
  </rv>
  <rv s="0">
    <v>805306368</v>
    <v>Katie Hobbs (Governor)</v>
    <v>05adb62e-e735-4e07-b8db-01b500d8f313</v>
    <v>en-US</v>
    <v>Generic</v>
  </rv>
  <rv s="0">
    <v>805306368</v>
    <v>Adrian Fontes (Secretary of state)</v>
    <v>0c546f0f-c55b-c9c4-74cd-81b6c0d421d9</v>
    <v>en-US</v>
    <v>Generic</v>
  </rv>
  <rv s="0">
    <v>805306368</v>
    <v>Mark Kelly (Senate)</v>
    <v>7378c94d-66d6-3a6c-42fd-639c9bfc1491</v>
    <v>en-US</v>
    <v>Generic</v>
  </rv>
  <rv s="0">
    <v>805306368</v>
    <v>Ruben Gallego (Senate)</v>
    <v>9072078c-6591-4962-bbfd-eeadf6fa0184</v>
    <v>en-US</v>
    <v>Generic</v>
  </rv>
  <rv s="3">
    <v>41</v>
  </rv>
  <rv s="4">
    <v>https://www.bing.com/search?q=arizona&amp;form=skydnc</v>
    <v>Learn more on Bing</v>
  </rv>
  <rv s="1">
    <fb>913</fb>
    <v>12</v>
  </rv>
  <rv s="1">
    <fb>50255</fb>
    <v>12</v>
  </rv>
  <rv s="1">
    <fb>167500</fb>
    <v>12</v>
  </rv>
  <rv s="1">
    <fb>7623818</fb>
    <v>11</v>
  </rv>
  <rv s="1">
    <fb>5.2999999999999999E-2</fb>
    <v>15</v>
  </rv>
  <rv s="1">
    <fb>0.27500000000000002</fb>
    <v>14</v>
  </rv>
  <rv s="1">
    <fb>0.13500000000000001</fb>
    <v>14</v>
  </rv>
  <rv s="1">
    <fb>0.86</fb>
    <v>14</v>
  </rv>
  <rv s="1">
    <fb>0.307</fb>
    <v>14</v>
  </rv>
  <rv s="1">
    <fb>0.59299999999999997</fb>
    <v>14</v>
  </rv>
  <rv s="1">
    <fb>8.199999999999999E-2</fb>
    <v>14</v>
  </rv>
  <rv s="1">
    <fb>0.23800000000000002</fb>
    <v>14</v>
  </rv>
  <rv s="1">
    <fb>0.83499999999999996</fb>
    <v>14</v>
  </rv>
  <rv s="5">
    <v>#VALUE!</v>
    <v>en-US</v>
    <v>bf973f46-5962-4997-a7ba-a05f1aa2a9f9</v>
    <v>536870912</v>
    <v>1</v>
    <v>127</v>
    <v>5</v>
    <v>Arizona</v>
    <v>7</v>
    <v>8</v>
    <v>Map</v>
    <v>9</v>
    <v>10</v>
    <v>US-AZ</v>
    <v>780</v>
    <v>781</v>
    <v>782</v>
    <v>4</v>
    <v>Arizona is a landlocked state in the Southwestern United States, sharing the Four Corners region with Colorado, New Mexico, and Utah. It also borders Nevada to the northwest and California to the west, and shares an international border with the ...</v>
    <v>783</v>
    <v>784</v>
    <v>785</v>
    <v>782</v>
    <v>790</v>
    <v>791</v>
    <v>792</v>
    <v>793</v>
    <v>794</v>
    <v>Arizona</v>
    <v>123</v>
    <v>659</v>
    <v>795</v>
    <v>25</v>
    <v>742</v>
    <v>796</v>
    <v>385</v>
    <v>797</v>
    <v>328</v>
    <v>798</v>
    <v>799</v>
    <v>800</v>
    <v>801</v>
    <v>409</v>
    <v>802</v>
    <v>720</v>
    <v>803</v>
    <v>334</v>
    <v>804</v>
    <v>533</v>
    <v>Arizona</v>
    <v>mdp/vdpid/1945</v>
  </rv>
  <rv s="0">
    <v>536870912</v>
    <v>Maine</v>
    <v>d62dd683-9cf9-4db9-a497-d810d529592b</v>
    <v>en-US</v>
    <v>Map</v>
  </rv>
  <rv s="1">
    <fb>91646</fb>
    <v>11</v>
  </rv>
  <rv s="1">
    <fb>4010</fb>
    <v>11</v>
  </rv>
  <rv s="0">
    <v>536870912</v>
    <v>Augusta, Maine</v>
    <v>a6f13dc8-92ac-2fb1-cb14-adfd42dc32be</v>
    <v>en-US</v>
    <v>Map</v>
  </rv>
  <rv s="1">
    <fb>553284</fb>
    <v>11</v>
  </rv>
  <rv s="1">
    <fb>730705</fb>
    <v>11</v>
  </rv>
  <rv s="2">
    <v>27</v>
    <v>9</v>
    <v>132</v>
    <v>7</v>
    <v>0</v>
    <v>Image of Maine</v>
  </rv>
  <rv s="0">
    <v>536870912</v>
    <v>Portland, Maine</v>
    <v>faa79e83-dad6-af0a-6f59-a774a9a659a6</v>
    <v>en-US</v>
    <v>Map</v>
  </rv>
  <rv s="0">
    <v>805306368</v>
    <v>Janet Mills (Governor)</v>
    <v>a46a0212-e842-c48d-8bde-90ee5acba105</v>
    <v>en-US</v>
    <v>Generic</v>
  </rv>
  <rv s="0">
    <v>805306368</v>
    <v>Susan Collins (Senate)</v>
    <v>aaad9d58-ed73-4938-bfdc-c03cdc232d44</v>
    <v>en-US</v>
    <v>Generic</v>
  </rv>
  <rv s="0">
    <v>805306368</v>
    <v>Angus King (Senate)</v>
    <v>ae56a193-d51f-9bf9-61be-255f3573d439</v>
    <v>en-US</v>
    <v>Generic</v>
  </rv>
  <rv s="3">
    <v>42</v>
  </rv>
  <rv s="4">
    <v>https://www.bing.com/search?q=maine&amp;form=skydnc</v>
    <v>Learn more on Bing</v>
  </rv>
  <rv s="1">
    <fb>777</fb>
    <v>12</v>
  </rv>
  <rv s="1">
    <fb>49331</fb>
    <v>12</v>
  </rv>
  <rv s="1">
    <fb>173800</fb>
    <v>12</v>
  </rv>
  <rv s="1">
    <fb>1414874</fb>
    <v>11</v>
  </rv>
  <rv s="1">
    <fb>1.2E-2</fb>
    <v>14</v>
  </rv>
  <rv s="1">
    <fb>0.28999999999999998</fb>
    <v>14</v>
  </rv>
  <rv s="1">
    <fb>0.91599999999999993</fb>
    <v>14</v>
  </rv>
  <rv s="1">
    <fb>0.63400000000000001</fb>
    <v>14</v>
  </rv>
  <rv s="1">
    <fb>0.11900000000000001</fb>
    <v>14</v>
  </rv>
  <rv s="1">
    <fb>0.193</fb>
    <v>14</v>
  </rv>
  <rv s="1">
    <fb>0.94900000000000007</fb>
    <v>14</v>
  </rv>
  <rv s="7">
    <v>#VALUE!</v>
    <v>en-US</v>
    <v>d62dd683-9cf9-4db9-a497-d810d529592b</v>
    <v>536870912</v>
    <v>1</v>
    <v>131</v>
    <v>35</v>
    <v>Maine</v>
    <v>7</v>
    <v>8</v>
    <v>Map</v>
    <v>9</v>
    <v>36</v>
    <v>US-ME</v>
    <v>807</v>
    <v>808</v>
    <v>809</v>
    <v>4</v>
    <v>Maine is a state in the New England region of the United States, and the northeasternmost state in the contiguous United States. It borders New Hampshire to the west, the Gulf of Maine to the southeast, and the Canadian provinces of New ...</v>
    <v>810</v>
    <v>811</v>
    <v>812</v>
    <v>813</v>
    <v>817</v>
    <v>818</v>
    <v>819</v>
    <v>820</v>
    <v>821</v>
    <v>Maine</v>
    <v>157</v>
    <v>822</v>
    <v>414</v>
    <v>500</v>
    <v>195</v>
    <v>823</v>
    <v>824</v>
    <v>196</v>
    <v>199</v>
    <v>825</v>
    <v>162</v>
    <v>826</v>
    <v>827</v>
    <v>193</v>
    <v>828</v>
    <v>171</v>
    <v>829</v>
    <v>36</v>
    <v>Maine</v>
    <v>mdp/vdpid/19840</v>
  </rv>
</rvData>
</file>

<file path=xl/richData/rdrichvaluestructure.xml><?xml version="1.0" encoding="utf-8"?>
<rvStructures xmlns="http://schemas.microsoft.com/office/spreadsheetml/2017/richdata" count="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Persons with a disability (%)" t="r"/>
    <k n="Population: Two or more races (%)" t="r"/>
    <k n="Population: Under age 18 (%)" t="r"/>
    <k n="Population: Under age 5 (%)" t="r"/>
    <k n="Population: White (%)" t="r"/>
    <k n="Time zone(s)" t="r"/>
    <k n="UniqueName" t="s"/>
    <k n="VDPID/VSID" t="s"/>
  </s>
</rvStructures>
</file>

<file path=xl/richData/rdsupportingpropertybag.xml><?xml version="1.0" encoding="utf-8"?>
<supportingPropertyBags xmlns="http://schemas.microsoft.com/office/spreadsheetml/2017/richdata2">
  <spbArrays count="4">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White (%)</v>
      <v t="s">Population: Two or more races (%)</v>
      <v t="s">Time zone(s)</v>
      <v t="s">_Flags</v>
      <v t="s">VDPID/VSID</v>
      <v t="s">UniqueName</v>
      <v t="s">_DisplayString</v>
      <v t="s">LearnMoreOnLink</v>
      <v t="s">Image</v>
      <v t="s">Description</v>
    </a>
  </spbArrays>
  <spbData count="133">
    <spb s="0">
      <v xml:space="preserve">Wikipedia	</v>
      <v xml:space="preserve">CC BY-SA 3.0	</v>
      <v xml:space="preserve">https://en.wikipedia.org/wiki/Massachusetts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http://en.wikipedia.org/wiki/Massachusetts	</v>
      <v xml:space="preserve">http://creativecommons.org/licenses/by-sa/3.0/	</v>
    </spb>
    <spb s="0">
      <v xml:space="preserve">Wikipedia	US Census	US Census	</v>
      <v xml:space="preserve">CC-BY-SA			</v>
      <v xml:space="preserve">http://en.wikipedia.org/wiki/Massachusetts	https://www.census.gov/popest/data/state/asrh/2014/files/SC-EST2014-AGESEX-CIV.csv	http://www.census.gov/quickfacts/table/WTN220212/25	</v>
      <v xml:space="preserve">http://creativecommons.org/licenses/by-sa/3.0/			</v>
    </spb>
    <spb s="1">
      <v>0</v>
      <v>0</v>
      <v>1</v>
      <v>0</v>
      <v>0</v>
      <v>0</v>
      <v>2</v>
      <v>0</v>
      <v>1</v>
      <v>0</v>
      <v>1</v>
      <v>3</v>
      <v>0</v>
      <v>1</v>
      <v>1</v>
      <v>1</v>
      <v>1</v>
      <v>3</v>
      <v>1</v>
      <v>1</v>
      <v>1</v>
      <v>1</v>
      <v>1</v>
      <v>1</v>
      <v>1</v>
      <v>1</v>
      <v>1</v>
      <v>3</v>
      <v>1</v>
      <v>1</v>
      <v>1</v>
      <v>1</v>
    </spb>
    <spb s="2">
      <v>0</v>
      <v>Name</v>
      <v>LearnMoreOnLink</v>
    </spb>
    <spb s="3">
      <v>0</v>
      <v>0</v>
      <v>0</v>
    </spb>
    <spb s="4">
      <v>6</v>
      <v>6</v>
      <v>6</v>
    </spb>
    <spb s="5">
      <v>1</v>
      <v>2</v>
    </spb>
    <spb s="6">
      <v>https://www.bing.com</v>
      <v>https://www.bing.com/th?id=Ga%5Cbing_yt.png&amp;w=100&amp;h=40&amp;c=0&amp;pid=0.1</v>
      <v>Powered by Bing</v>
    </spb>
    <spb s="7">
      <v>square km</v>
      <v>2015</v>
      <v>2025</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3</v>
    </spb>
    <spb s="8">
      <v>4</v>
    </spb>
    <spb s="8">
      <v>5</v>
    </spb>
    <spb s="8">
      <v>6</v>
    </spb>
    <spb s="8">
      <v>7</v>
    </spb>
    <spb s="0">
      <v xml:space="preserve">Wikipedia	</v>
      <v xml:space="preserve">CC BY-SA 3.0	</v>
      <v xml:space="preserve">https://en.wikipedia.org/wiki/Texas	</v>
      <v xml:space="preserve">https://creativecommons.org/licenses/by-sa/3.0	</v>
    </spb>
    <spb s="0">
      <v xml:space="preserve">Wikipedia	</v>
      <v xml:space="preserve">CC-BY-SA	</v>
      <v xml:space="preserve">http://en.wikipedia.org/wiki/Texas	</v>
      <v xml:space="preserve">http://creativecommons.org/licenses/by-sa/3.0/	</v>
    </spb>
    <spb s="0">
      <v xml:space="preserve">Wikipedia	US Census	US Census	</v>
      <v xml:space="preserve">CC-BY-SA			</v>
      <v xml:space="preserve">http://en.wikipedia.org/wiki/Texas	https://www.census.gov/popest/data/state/asrh/2014/files/SC-EST2014-AGESEX-CIV.csv	http://www.census.gov/quickfacts/table/WTN220212/48	</v>
      <v xml:space="preserve">http://creativecommons.org/licenses/by-sa/3.0/			</v>
    </spb>
    <spb s="1">
      <v>16</v>
      <v>16</v>
      <v>1</v>
      <v>16</v>
      <v>16</v>
      <v>16</v>
      <v>17</v>
      <v>16</v>
      <v>1</v>
      <v>16</v>
      <v>1</v>
      <v>18</v>
      <v>16</v>
      <v>1</v>
      <v>1</v>
      <v>1</v>
      <v>1</v>
      <v>18</v>
      <v>1</v>
      <v>1</v>
      <v>1</v>
      <v>1</v>
      <v>1</v>
      <v>1</v>
      <v>1</v>
      <v>1</v>
      <v>1</v>
      <v>18</v>
      <v>1</v>
      <v>1</v>
      <v>1</v>
      <v>1</v>
    </spb>
    <spb s="2">
      <v>1</v>
      <v>Name</v>
      <v>LearnMoreOnLink</v>
    </spb>
    <spb s="7">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Wikipedia	</v>
      <v xml:space="preserve">CC BY-SA 3.0	</v>
      <v xml:space="preserve">https://apple.fandom.com/wiki/Texas	</v>
      <v xml:space="preserve">https://creativecommons.org/licenses/by-sa/3.0	</v>
    </spb>
    <spb s="0">
      <v xml:space="preserve">Wikipedia	</v>
      <v xml:space="preserve">CC BY-SA 3.0	</v>
      <v xml:space="preserve">https://en.wikipedia.org/wiki/Connecticut	</v>
      <v xml:space="preserve">https://creativecommons.org/licenses/by-sa/3.0	</v>
    </spb>
    <spb s="0">
      <v xml:space="preserve">Wikipedia	</v>
      <v xml:space="preserve">CC-BY-SA	</v>
      <v xml:space="preserve">http://en.wikipedia.org/wiki/Connecticut	</v>
      <v xml:space="preserve">http://creativecommons.org/licenses/by-sa/3.0/	</v>
    </spb>
    <spb s="0">
      <v xml:space="preserve">Wikipedia	US Census	Bookdepository	</v>
      <v xml:space="preserve">CC-BY-SA			</v>
      <v xml:space="preserve">http://en.wikipedia.org/wiki/Connecticut	https://www.census.gov/popest/data/state/asrh/2014/files/SC-EST2014-AGESEX-CIV.csv	https://www.bookdepository.com/author/Etc-Connecticut-Laws	</v>
      <v xml:space="preserve">http://creativecommons.org/licenses/by-sa/3.0/			</v>
    </spb>
    <spb s="1">
      <v>23</v>
      <v>23</v>
      <v>1</v>
      <v>23</v>
      <v>23</v>
      <v>23</v>
      <v>24</v>
      <v>23</v>
      <v>1</v>
      <v>23</v>
      <v>1</v>
      <v>25</v>
      <v>23</v>
      <v>1</v>
      <v>1</v>
      <v>1</v>
      <v>1</v>
      <v>25</v>
      <v>1</v>
      <v>1</v>
      <v>1</v>
      <v>1</v>
      <v>1</v>
      <v>1</v>
      <v>1</v>
      <v>1</v>
      <v>1</v>
      <v>25</v>
      <v>1</v>
      <v>1</v>
      <v>1</v>
      <v>1</v>
    </spb>
    <spb s="0">
      <v xml:space="preserve">Wikipedia	</v>
      <v xml:space="preserve">CC BY-SA 3.0	</v>
      <v xml:space="preserve">https://en.wikipedia.org/wiki/Virginia	</v>
      <v xml:space="preserve">https://creativecommons.org/licenses/by-sa/3.0	</v>
    </spb>
    <spb s="0">
      <v xml:space="preserve">Wikipedia	</v>
      <v xml:space="preserve">CC-BY-SA	</v>
      <v xml:space="preserve">http://en.wikipedia.org/wiki/Virginia	</v>
      <v xml:space="preserve">http://creativecommons.org/licenses/by-sa/3.0/	</v>
    </spb>
    <spb s="0">
      <v xml:space="preserve">Wikipedia	US Census	US Census	</v>
      <v xml:space="preserve">CC-BY-SA			</v>
      <v xml:space="preserve">http://en.wikipedia.org/wiki/Virginia	https://www.census.gov/popest/data/state/asrh/2014/files/SC-EST2014-AGESEX-CIV.csv	http://www.census.gov/quickfacts/table/WTN220212/51	</v>
      <v xml:space="preserve">http://creativecommons.org/licenses/by-sa/3.0/			</v>
    </spb>
    <spb s="1">
      <v>27</v>
      <v>27</v>
      <v>1</v>
      <v>27</v>
      <v>27</v>
      <v>27</v>
      <v>28</v>
      <v>27</v>
      <v>1</v>
      <v>27</v>
      <v>1</v>
      <v>29</v>
      <v>27</v>
      <v>1</v>
      <v>1</v>
      <v>1</v>
      <v>1</v>
      <v>29</v>
      <v>1</v>
      <v>1</v>
      <v>1</v>
      <v>1</v>
      <v>1</v>
      <v>1</v>
      <v>1</v>
      <v>1</v>
      <v>1</v>
      <v>29</v>
      <v>1</v>
      <v>1</v>
      <v>1</v>
      <v>1</v>
    </spb>
    <spb s="0">
      <v xml:space="preserve">Wikipedia	</v>
      <v xml:space="preserve">CC BY-SA 3.0	</v>
      <v xml:space="preserve">https://en.wikipedia.org/wiki/Vermont	</v>
      <v xml:space="preserve">https://creativecommons.org/licenses/by-sa/3.0	</v>
    </spb>
    <spb s="0">
      <v xml:space="preserve">Wikipedia	</v>
      <v xml:space="preserve">CC-BY-SA	</v>
      <v xml:space="preserve">http://en.wikipedia.org/wiki/Vermont	</v>
      <v xml:space="preserve">http://creativecommons.org/licenses/by-sa/3.0/	</v>
    </spb>
    <spb s="0">
      <v xml:space="preserve">Wikipedia	US Census	US Census	</v>
      <v xml:space="preserve">CC-BY-SA			</v>
      <v xml:space="preserve">http://en.wikipedia.org/wiki/Vermont	https://www.census.gov/popest/data/state/asrh/2014/files/SC-EST2014-AGESEX-CIV.csv	http://www.census.gov/quickfacts/table/WTN220212/50	</v>
      <v xml:space="preserve">http://creativecommons.org/licenses/by-sa/3.0/			</v>
    </spb>
    <spb s="9">
      <v>31</v>
      <v>31</v>
      <v>1</v>
      <v>31</v>
      <v>31</v>
      <v>31</v>
      <v>32</v>
      <v>31</v>
      <v>1</v>
      <v>31</v>
      <v>1</v>
      <v>33</v>
      <v>31</v>
      <v>1</v>
      <v>1</v>
      <v>1</v>
      <v>1</v>
      <v>33</v>
      <v>1</v>
      <v>1</v>
      <v>1</v>
      <v>1</v>
      <v>1</v>
      <v>1</v>
      <v>1</v>
      <v>1</v>
      <v>1</v>
      <v>33</v>
      <v>1</v>
      <v>1</v>
      <v>1</v>
    </spb>
    <spb s="2">
      <v>2</v>
      <v>Name</v>
      <v>LearnMoreOnLink</v>
    </spb>
    <spb s="10">
      <v>square km</v>
      <v>2015</v>
      <v>2025</v>
      <v>2016</v>
      <v>2016</v>
      <v>2015</v>
      <v>2015</v>
      <v>2010, 2016</v>
      <v>persons (2015)</v>
      <v>persons (2015)</v>
      <v>2015</v>
      <v>2015</v>
      <v>2015</v>
      <v>2015</v>
      <v>persons (2015)</v>
      <v>persons (2015)</v>
      <v>2015</v>
      <v>persons age 16+, 2015</v>
      <v>persons (2015)</v>
      <v>under age 65, 2015</v>
      <v>2015</v>
      <v>persons age 25+, 2015</v>
      <v>persons (2015)</v>
      <v>persons (2015)</v>
    </spb>
    <spb s="0">
      <v xml:space="preserve">Wikipedia	</v>
      <v xml:space="preserve">CC BY-SA 3.0	</v>
      <v xml:space="preserve">https://vermont.fandom.com/wiki/Vermont	</v>
      <v xml:space="preserve">https://creativecommons.org/licenses/by-sa/3.0	</v>
    </spb>
    <spb s="0">
      <v xml:space="preserve">Wikipedia	</v>
      <v xml:space="preserve">CC BY-SA 3.0	</v>
      <v xml:space="preserve">https://en.wikipedia.org/wiki/Alabama	</v>
      <v xml:space="preserve">https://creativecommons.org/licenses/by-sa/3.0	</v>
    </spb>
    <spb s="0">
      <v xml:space="preserve">Wikipedia	</v>
      <v xml:space="preserve">CC-BY-SA	</v>
      <v xml:space="preserve">http://en.wikipedia.org/wiki/Alabama	</v>
      <v xml:space="preserve">http://creativecommons.org/licenses/by-sa/3.0/	</v>
    </spb>
    <spb s="0">
      <v xml:space="preserve">Wikipedia	US Census	US Census	</v>
      <v xml:space="preserve">CC-BY-SA			</v>
      <v xml:space="preserve">http://en.wikipedia.org/wiki/Alabama	https://www.census.gov/popest/data/state/asrh/2014/files/SC-EST2014-AGESEX-CIV.csv	http://www.census.gov/quickfacts/table/WTN220212/01	</v>
      <v xml:space="preserve">http://creativecommons.org/licenses/by-sa/3.0/			</v>
    </spb>
    <spb s="1">
      <v>38</v>
      <v>38</v>
      <v>1</v>
      <v>38</v>
      <v>38</v>
      <v>38</v>
      <v>39</v>
      <v>38</v>
      <v>1</v>
      <v>38</v>
      <v>1</v>
      <v>40</v>
      <v>38</v>
      <v>1</v>
      <v>1</v>
      <v>1</v>
      <v>1</v>
      <v>40</v>
      <v>1</v>
      <v>1</v>
      <v>1</v>
      <v>1</v>
      <v>1</v>
      <v>1</v>
      <v>1</v>
      <v>1</v>
      <v>1</v>
      <v>40</v>
      <v>1</v>
      <v>1</v>
      <v>1</v>
      <v>1</v>
    </spb>
    <spb s="7">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0">
      <v xml:space="preserve">Wikipedia	</v>
      <v xml:space="preserve">CC BY-SA 3.0	</v>
      <v xml:space="preserve">https://en.wikipedia.org/wiki/Washington_(state)	</v>
      <v xml:space="preserve">https://creativecommons.org/licenses/by-sa/3.0	</v>
    </spb>
    <spb s="0">
      <v xml:space="preserve">Wikipedia	</v>
      <v xml:space="preserve">CC-BY-SA	</v>
      <v xml:space="preserve">http://en.wikipedia.org/wiki/Washington_(state)	</v>
      <v xml:space="preserve">http://creativecommons.org/licenses/by-sa/3.0/	</v>
    </spb>
    <spb s="0">
      <v xml:space="preserve">Wikipedia	US Census	Crunchbase	</v>
      <v xml:space="preserve">CC-BY-SA			</v>
      <v xml:space="preserve">http://en.wikipedia.org/wiki/Washington_(state)	https://www.census.gov/popest/data/state/asrh/2014/files/SC-EST2014-AGESEX-CIV.csv	https://www.crunchbase.com/organization/access-washington	</v>
      <v xml:space="preserve">http://creativecommons.org/licenses/by-sa/3.0/			</v>
    </spb>
    <spb s="1">
      <v>43</v>
      <v>43</v>
      <v>1</v>
      <v>43</v>
      <v>43</v>
      <v>43</v>
      <v>44</v>
      <v>43</v>
      <v>1</v>
      <v>43</v>
      <v>1</v>
      <v>45</v>
      <v>43</v>
      <v>1</v>
      <v>1</v>
      <v>1</v>
      <v>1</v>
      <v>45</v>
      <v>1</v>
      <v>1</v>
      <v>1</v>
      <v>1</v>
      <v>1</v>
      <v>1</v>
      <v>1</v>
      <v>1</v>
      <v>1</v>
      <v>45</v>
      <v>1</v>
      <v>1</v>
      <v>1</v>
      <v>1</v>
    </spb>
    <spb s="0">
      <v xml:space="preserve">Wikipedia	</v>
      <v xml:space="preserve">CC BY-SA 3.0	</v>
      <v xml:space="preserve">https://en.wikipedia.org/wiki/California	</v>
      <v xml:space="preserve">https://creativecommons.org/licenses/by-sa/3.0	</v>
    </spb>
    <spb s="0">
      <v xml:space="preserve">Wikipedia	</v>
      <v xml:space="preserve">CC-BY-SA	</v>
      <v xml:space="preserve">http://en.wikipedia.org/wiki/California	</v>
      <v xml:space="preserve">http://creativecommons.org/licenses/by-sa/3.0/	</v>
    </spb>
    <spb s="0">
      <v xml:space="preserve">Wikipedia	US Census	US Census	</v>
      <v xml:space="preserve">CC-BY-SA			</v>
      <v xml:space="preserve">http://en.wikipedia.org/wiki/California	https://www.census.gov/popest/data/state/asrh/2014/files/SC-EST2014-AGESEX-CIV.csv	http://www.census.gov/quickfacts/table/VET605214/06	</v>
      <v xml:space="preserve">http://creativecommons.org/licenses/by-sa/3.0/			</v>
    </spb>
    <spb s="1">
      <v>47</v>
      <v>47</v>
      <v>1</v>
      <v>47</v>
      <v>47</v>
      <v>47</v>
      <v>48</v>
      <v>47</v>
      <v>1</v>
      <v>47</v>
      <v>1</v>
      <v>49</v>
      <v>47</v>
      <v>1</v>
      <v>1</v>
      <v>1</v>
      <v>1</v>
      <v>49</v>
      <v>1</v>
      <v>1</v>
      <v>1</v>
      <v>1</v>
      <v>1</v>
      <v>1</v>
      <v>1</v>
      <v>1</v>
      <v>1</v>
      <v>49</v>
      <v>1</v>
      <v>1</v>
      <v>1</v>
      <v>1</v>
    </spb>
    <spb s="0">
      <v xml:space="preserve">Wikipedia	</v>
      <v xml:space="preserve">CC BY-SA 3.0	</v>
      <v xml:space="preserve">https://en.wikipedia.org/wiki/Ohio	</v>
      <v xml:space="preserve">https://creativecommons.org/licenses/by-sa/3.0	</v>
    </spb>
    <spb s="0">
      <v xml:space="preserve">Wikipedia	</v>
      <v xml:space="preserve">CC-BY-SA	</v>
      <v xml:space="preserve">http://en.wikipedia.org/wiki/Ohio	</v>
      <v xml:space="preserve">http://creativecommons.org/licenses/by-sa/3.0/	</v>
    </spb>
    <spb s="0">
      <v xml:space="preserve">Wikipedia	US Census	US Census	</v>
      <v xml:space="preserve">CC-BY-SA			</v>
      <v xml:space="preserve">http://en.wikipedia.org/wiki/Ohio	https://www.census.gov/popest/data/state/asrh/2014/files/SC-EST2014-AGESEX-CIV.csv	http://www.census.gov/quickfacts/table/WTN220212/39	</v>
      <v xml:space="preserve">http://creativecommons.org/licenses/by-sa/3.0/			</v>
    </spb>
    <spb s="1">
      <v>51</v>
      <v>51</v>
      <v>1</v>
      <v>51</v>
      <v>51</v>
      <v>51</v>
      <v>52</v>
      <v>51</v>
      <v>1</v>
      <v>51</v>
      <v>1</v>
      <v>53</v>
      <v>51</v>
      <v>1</v>
      <v>1</v>
      <v>1</v>
      <v>1</v>
      <v>53</v>
      <v>1</v>
      <v>1</v>
      <v>1</v>
      <v>1</v>
      <v>1</v>
      <v>1</v>
      <v>1</v>
      <v>1</v>
      <v>1</v>
      <v>53</v>
      <v>1</v>
      <v>1</v>
      <v>1</v>
      <v>1</v>
    </spb>
    <spb s="0">
      <v xml:space="preserve">Wikipedia	</v>
      <v xml:space="preserve">CC BY-SA 3.0	</v>
      <v xml:space="preserve">https://en.wikipedia.org/wiki/Indiana	</v>
      <v xml:space="preserve">https://creativecommons.org/licenses/by-sa/3.0	</v>
    </spb>
    <spb s="0">
      <v xml:space="preserve">Wikipedia	</v>
      <v xml:space="preserve">CC-BY-SA	</v>
      <v xml:space="preserve">http://en.wikipedia.org/wiki/Indiana	</v>
      <v xml:space="preserve">http://creativecommons.org/licenses/by-sa/3.0/	</v>
    </spb>
    <spb s="0">
      <v xml:space="preserve">Wikipedia	US Census	US Census	</v>
      <v xml:space="preserve">CC-BY-SA			</v>
      <v xml:space="preserve">http://en.wikipedia.org/wiki/Indiana	https://www.census.gov/popest/data/state/asrh/2014/files/SC-EST2014-AGESEX-CIV.csv	http://www.census.gov/quickfacts/table/WTN220212/18	</v>
      <v xml:space="preserve">http://creativecommons.org/licenses/by-sa/3.0/			</v>
    </spb>
    <spb s="1">
      <v>55</v>
      <v>55</v>
      <v>1</v>
      <v>55</v>
      <v>55</v>
      <v>55</v>
      <v>56</v>
      <v>55</v>
      <v>1</v>
      <v>55</v>
      <v>1</v>
      <v>57</v>
      <v>55</v>
      <v>1</v>
      <v>1</v>
      <v>1</v>
      <v>1</v>
      <v>57</v>
      <v>1</v>
      <v>1</v>
      <v>1</v>
      <v>1</v>
      <v>1</v>
      <v>1</v>
      <v>1</v>
      <v>1</v>
      <v>1</v>
      <v>57</v>
      <v>1</v>
      <v>1</v>
      <v>1</v>
      <v>1</v>
    </spb>
    <spb s="0">
      <v xml:space="preserve">Wikipedia	</v>
      <v xml:space="preserve">CC BY-SA 3.0	</v>
      <v xml:space="preserve">https://en.wikipedia.org/wiki/Tennessee	</v>
      <v xml:space="preserve">https://creativecommons.org/licenses/by-sa/3.0	</v>
    </spb>
    <spb s="0">
      <v xml:space="preserve">Wikipedia	</v>
      <v xml:space="preserve">CC-BY-SA	</v>
      <v xml:space="preserve">http://en.wikipedia.org/wiki/Tennessee	</v>
      <v xml:space="preserve">http://creativecommons.org/licenses/by-sa/3.0/	</v>
    </spb>
    <spb s="0">
      <v xml:space="preserve">Wikipedia	US Census	US Census	</v>
      <v xml:space="preserve">CC-BY-SA			</v>
      <v xml:space="preserve">http://en.wikipedia.org/wiki/Tennessee	https://www.census.gov/popest/data/state/asrh/2014/files/SC-EST2014-AGESEX-CIV.csv	http://www.census.gov/quickfacts/table/WTN220212/47	</v>
      <v xml:space="preserve">http://creativecommons.org/licenses/by-sa/3.0/			</v>
    </spb>
    <spb s="1">
      <v>59</v>
      <v>59</v>
      <v>1</v>
      <v>59</v>
      <v>59</v>
      <v>59</v>
      <v>60</v>
      <v>59</v>
      <v>1</v>
      <v>59</v>
      <v>1</v>
      <v>61</v>
      <v>59</v>
      <v>1</v>
      <v>1</v>
      <v>1</v>
      <v>1</v>
      <v>61</v>
      <v>1</v>
      <v>1</v>
      <v>1</v>
      <v>1</v>
      <v>1</v>
      <v>1</v>
      <v>1</v>
      <v>1</v>
      <v>1</v>
      <v>61</v>
      <v>1</v>
      <v>1</v>
      <v>1</v>
      <v>1</v>
    </spb>
    <spb s="0">
      <v xml:space="preserve">Wikipedia	</v>
      <v xml:space="preserve">CC BY-SA 3.0	</v>
      <v xml:space="preserve">https://en.wikipedia.org/wiki/New_Hampshire	</v>
      <v xml:space="preserve">https://creativecommons.org/licenses/by-sa/3.0	</v>
    </spb>
    <spb s="0">
      <v xml:space="preserve">Wikipedia	</v>
      <v xml:space="preserve">CC-BY-SA	</v>
      <v xml:space="preserve">http://en.wikipedia.org/wiki/New_Hampshire	</v>
      <v xml:space="preserve">http://creativecommons.org/licenses/by-sa/3.0/	</v>
    </spb>
    <spb s="0">
      <v xml:space="preserve">Wikipedia	US Census	Bookdepository	</v>
      <v xml:space="preserve">CC-BY-SA			</v>
      <v xml:space="preserve">http://en.wikipedia.org/wiki/New_Hampshire	https://www.census.gov/popest/data/state/asrh/2014/files/SC-EST2014-AGESEX-CIV.csv	https://www.bookdepository.com/author/New-Hampshire	</v>
      <v xml:space="preserve">http://creativecommons.org/licenses/by-sa/3.0/			</v>
    </spb>
    <spb s="9">
      <v>63</v>
      <v>63</v>
      <v>1</v>
      <v>63</v>
      <v>63</v>
      <v>63</v>
      <v>64</v>
      <v>63</v>
      <v>1</v>
      <v>63</v>
      <v>1</v>
      <v>65</v>
      <v>63</v>
      <v>1</v>
      <v>1</v>
      <v>1</v>
      <v>1</v>
      <v>65</v>
      <v>1</v>
      <v>1</v>
      <v>1</v>
      <v>1</v>
      <v>1</v>
      <v>1</v>
      <v>1</v>
      <v>1</v>
      <v>1</v>
      <v>65</v>
      <v>1</v>
      <v>1</v>
      <v>1</v>
    </spb>
    <spb s="2">
      <v>3</v>
      <v>Name</v>
      <v>LearnMoreOnLink</v>
    </spb>
    <spb s="0">
      <v xml:space="preserve">Wikipedia	</v>
      <v xml:space="preserve">CC BY-SA 3.0	</v>
      <v xml:space="preserve">https://en.wikipedia.org/wiki/Rhode_Island	</v>
      <v xml:space="preserve">https://creativecommons.org/licenses/by-sa/3.0	</v>
    </spb>
    <spb s="0">
      <v xml:space="preserve">Wikipedia	</v>
      <v xml:space="preserve">CC-BY-SA	</v>
      <v xml:space="preserve">http://en.wikipedia.org/wiki/Rhode_Island	</v>
      <v xml:space="preserve">http://creativecommons.org/licenses/by-sa/3.0/	</v>
    </spb>
    <spb s="0">
      <v xml:space="preserve">Wikipedia	US Census	US Census	</v>
      <v xml:space="preserve">CC-BY-SA			</v>
      <v xml:space="preserve">http://en.wikipedia.org/wiki/Rhode_Island	https://www.census.gov/popest/data/state/asrh/2014/files/SC-EST2014-AGESEX-CIV.csv	http://www.census.gov/quickfacts/table/WTN220212/44	</v>
      <v xml:space="preserve">http://creativecommons.org/licenses/by-sa/3.0/			</v>
    </spb>
    <spb s="1">
      <v>68</v>
      <v>68</v>
      <v>1</v>
      <v>68</v>
      <v>68</v>
      <v>68</v>
      <v>69</v>
      <v>68</v>
      <v>1</v>
      <v>68</v>
      <v>1</v>
      <v>70</v>
      <v>68</v>
      <v>1</v>
      <v>1</v>
      <v>1</v>
      <v>1</v>
      <v>70</v>
      <v>1</v>
      <v>1</v>
      <v>1</v>
      <v>1</v>
      <v>1</v>
      <v>1</v>
      <v>1</v>
      <v>1</v>
      <v>1</v>
      <v>70</v>
      <v>1</v>
      <v>1</v>
      <v>1</v>
      <v>1</v>
    </spb>
    <spb s="0">
      <v xml:space="preserve">Wikipedia	</v>
      <v xml:space="preserve">CC BY-SA 3.0	</v>
      <v xml:space="preserve">https://en.wikipedia.org/wiki/Pennsylvania	</v>
      <v xml:space="preserve">https://creativecommons.org/licenses/by-sa/3.0	</v>
    </spb>
    <spb s="0">
      <v xml:space="preserve">Wikipedia	</v>
      <v xml:space="preserve">CC-BY-SA	</v>
      <v xml:space="preserve">http://en.wikipedia.org/wiki/Pennsylvania	</v>
      <v xml:space="preserve">http://creativecommons.org/licenses/by-sa/3.0/	</v>
    </spb>
    <spb s="0">
      <v xml:space="preserve">Wikipedia	US Census	US Census	</v>
      <v xml:space="preserve">CC-BY-SA			</v>
      <v xml:space="preserve">http://en.wikipedia.org/wiki/Pennsylvania	https://www.census.gov/popest/data/state/asrh/2014/files/SC-EST2014-AGESEX-CIV.csv	http://www.census.gov/quickfacts/table/WTN220212/42	</v>
      <v xml:space="preserve">http://creativecommons.org/licenses/by-sa/3.0/			</v>
    </spb>
    <spb s="1">
      <v>72</v>
      <v>72</v>
      <v>1</v>
      <v>72</v>
      <v>72</v>
      <v>72</v>
      <v>73</v>
      <v>72</v>
      <v>1</v>
      <v>72</v>
      <v>1</v>
      <v>74</v>
      <v>72</v>
      <v>1</v>
      <v>1</v>
      <v>1</v>
      <v>1</v>
      <v>74</v>
      <v>1</v>
      <v>1</v>
      <v>1</v>
      <v>1</v>
      <v>1</v>
      <v>1</v>
      <v>1</v>
      <v>1</v>
      <v>1</v>
      <v>74</v>
      <v>1</v>
      <v>1</v>
      <v>1</v>
      <v>1</v>
    </spb>
    <spb s="0">
      <v xml:space="preserve">Wikipedia	</v>
      <v xml:space="preserve">CC BY-SA 3.0	</v>
      <v xml:space="preserve">https://en.wikipedia.org/wiki/Colorado	</v>
      <v xml:space="preserve">https://creativecommons.org/licenses/by-sa/3.0	</v>
    </spb>
    <spb s="0">
      <v xml:space="preserve">Wikipedia	</v>
      <v xml:space="preserve">CC-BY-SA	</v>
      <v xml:space="preserve">http://en.wikipedia.org/wiki/Colorado	</v>
      <v xml:space="preserve">http://creativecommons.org/licenses/by-sa/3.0/	</v>
    </spb>
    <spb s="0">
      <v xml:space="preserve">Wikipedia	US Census	US Census	</v>
      <v xml:space="preserve">CC-BY-SA			</v>
      <v xml:space="preserve">http://en.wikipedia.org/wiki/Colorado	https://www.census.gov/popest/data/state/asrh/2014/files/SC-EST2014-AGESEX-CIV.csv	http://www.census.gov/quickfacts/table/WTN220212/08	</v>
      <v xml:space="preserve">http://creativecommons.org/licenses/by-sa/3.0/			</v>
    </spb>
    <spb s="1">
      <v>76</v>
      <v>76</v>
      <v>1</v>
      <v>76</v>
      <v>76</v>
      <v>76</v>
      <v>77</v>
      <v>76</v>
      <v>1</v>
      <v>76</v>
      <v>1</v>
      <v>78</v>
      <v>76</v>
      <v>1</v>
      <v>1</v>
      <v>1</v>
      <v>1</v>
      <v>78</v>
      <v>1</v>
      <v>1</v>
      <v>1</v>
      <v>1</v>
      <v>1</v>
      <v>1</v>
      <v>1</v>
      <v>1</v>
      <v>1</v>
      <v>78</v>
      <v>1</v>
      <v>1</v>
      <v>1</v>
      <v>1</v>
    </spb>
    <spb s="0">
      <v xml:space="preserve">Wikipedia	</v>
      <v xml:space="preserve">CC BY-SA 3.0	</v>
      <v xml:space="preserve">https://en.wikipedia.org/wiki/New_York_(state)	</v>
      <v xml:space="preserve">https://creativecommons.org/licenses/by-sa/3.0	</v>
    </spb>
    <spb s="0">
      <v xml:space="preserve">Wikipedia	</v>
      <v xml:space="preserve">CC-BY-SA	</v>
      <v xml:space="preserve">http://en.wikipedia.org/wiki/New_York_(state)	</v>
      <v xml:space="preserve">http://creativecommons.org/licenses/by-sa/3.0/	</v>
    </spb>
    <spb s="0">
      <v xml:space="preserve">Wikipedia	Wikipedia	US Census	US Census	</v>
      <v xml:space="preserve">CC-BY-SA	CC-BY-SA			</v>
      <v xml:space="preserve">http://en.wikipedia.org/wiki/New_York_(state)	http://en.wikipedia.org/wiki/New_York	https://www.census.gov/popest/data/state/asrh/2014/files/SC-EST2014-AGESEX-CIV.csv	http://www.census.gov/quickfacts/table/WTN220212/36	</v>
      <v xml:space="preserve">http://creativecommons.org/licenses/by-sa/3.0/	http://creativecommons.org/licenses/by-sa/3.0/			</v>
    </spb>
    <spb s="1">
      <v>80</v>
      <v>80</v>
      <v>1</v>
      <v>80</v>
      <v>80</v>
      <v>80</v>
      <v>81</v>
      <v>80</v>
      <v>1</v>
      <v>80</v>
      <v>1</v>
      <v>82</v>
      <v>80</v>
      <v>1</v>
      <v>1</v>
      <v>1</v>
      <v>1</v>
      <v>82</v>
      <v>1</v>
      <v>1</v>
      <v>1</v>
      <v>1</v>
      <v>1</v>
      <v>1</v>
      <v>1</v>
      <v>1</v>
      <v>1</v>
      <v>82</v>
      <v>1</v>
      <v>1</v>
      <v>1</v>
      <v>1</v>
    </spb>
    <spb s="0">
      <v xml:space="preserve">Wikipedia	</v>
      <v xml:space="preserve">CC BY-SA 3.0	</v>
      <v xml:space="preserve">https://en.wikipedia.org/wiki/Utah	</v>
      <v xml:space="preserve">https://creativecommons.org/licenses/by-sa/3.0	</v>
    </spb>
    <spb s="0">
      <v xml:space="preserve">Wikipedia	</v>
      <v xml:space="preserve">CC-BY-SA	</v>
      <v xml:space="preserve">http://en.wikipedia.org/wiki/Utah	</v>
      <v xml:space="preserve">http://creativecommons.org/licenses/by-sa/3.0/	</v>
    </spb>
    <spb s="0">
      <v xml:space="preserve">Wikipedia	US Census	US Census	</v>
      <v xml:space="preserve">CC-BY-SA			</v>
      <v xml:space="preserve">http://en.wikipedia.org/wiki/Utah	https://www.census.gov/popest/data/state/asrh/2014/files/SC-EST2014-AGESEX-CIV.csv	http://www.census.gov/quickfacts/table/WTN220212/49	</v>
      <v xml:space="preserve">http://creativecommons.org/licenses/by-sa/3.0/			</v>
    </spb>
    <spb s="1">
      <v>84</v>
      <v>84</v>
      <v>1</v>
      <v>84</v>
      <v>84</v>
      <v>84</v>
      <v>85</v>
      <v>84</v>
      <v>1</v>
      <v>84</v>
      <v>1</v>
      <v>86</v>
      <v>84</v>
      <v>1</v>
      <v>1</v>
      <v>1</v>
      <v>1</v>
      <v>86</v>
      <v>1</v>
      <v>1</v>
      <v>1</v>
      <v>1</v>
      <v>1</v>
      <v>1</v>
      <v>1</v>
      <v>1</v>
      <v>1</v>
      <v>86</v>
      <v>1</v>
      <v>1</v>
      <v>1</v>
      <v>1</v>
    </spb>
    <spb s="0">
      <v xml:space="preserve">Wikipedia	</v>
      <v xml:space="preserve">CC BY-SA 3.0	</v>
      <v xml:space="preserve">https://en.wikipedia.org/wiki/Georgia_(U.S._state)	</v>
      <v xml:space="preserve">https://creativecommons.org/licenses/by-sa/3.0	</v>
    </spb>
    <spb s="0">
      <v xml:space="preserve">Wikipedia	</v>
      <v xml:space="preserve">CC-BY-SA	</v>
      <v xml:space="preserve">http://en.wikipedia.org/wiki/Georgia_(U.S._state)	</v>
      <v xml:space="preserve">http://creativecommons.org/licenses/by-sa/3.0/	</v>
    </spb>
    <spb s="0">
      <v xml:space="preserve">Wikipedia	US Census	US Census	</v>
      <v xml:space="preserve">CC-BY-SA			</v>
      <v xml:space="preserve">http://en.wikipedia.org/wiki/Georgia_(U.S._state)	https://www.census.gov/popest/data/state/asrh/2014/files/SC-EST2014-AGESEX-CIV.csv	http://www.census.gov/quickfacts/table/WTN220212/13	</v>
      <v xml:space="preserve">http://creativecommons.org/licenses/by-sa/3.0/			</v>
    </spb>
    <spb s="1">
      <v>88</v>
      <v>88</v>
      <v>1</v>
      <v>88</v>
      <v>88</v>
      <v>88</v>
      <v>89</v>
      <v>88</v>
      <v>1</v>
      <v>88</v>
      <v>1</v>
      <v>90</v>
      <v>88</v>
      <v>1</v>
      <v>1</v>
      <v>1</v>
      <v>1</v>
      <v>90</v>
      <v>1</v>
      <v>1</v>
      <v>1</v>
      <v>1</v>
      <v>1</v>
      <v>1</v>
      <v>1</v>
      <v>1</v>
      <v>1</v>
      <v>90</v>
      <v>1</v>
      <v>1</v>
      <v>1</v>
      <v>1</v>
    </spb>
    <spb s="0">
      <v xml:space="preserve">Wikipedia	</v>
      <v xml:space="preserve">CC BY-SA 3.0	</v>
      <v xml:space="preserve">https://en.wikipedia.org/wiki/Florida	</v>
      <v xml:space="preserve">https://creativecommons.org/licenses/by-sa/3.0	</v>
    </spb>
    <spb s="0">
      <v xml:space="preserve">Wikipedia	</v>
      <v xml:space="preserve">CC-BY-SA	</v>
      <v xml:space="preserve">http://en.wikipedia.org/wiki/Florida	</v>
      <v xml:space="preserve">http://creativecommons.org/licenses/by-sa/3.0/	</v>
    </spb>
    <spb s="0">
      <v xml:space="preserve">Wikipedia	US Census	US Census	</v>
      <v xml:space="preserve">CC-BY-SA			</v>
      <v xml:space="preserve">http://en.wikipedia.org/wiki/Florida	https://www.census.gov/popest/data/state/asrh/2014/files/SC-EST2014-AGESEX-CIV.csv	http://www.census.gov/quickfacts/table/WTN220212/12	</v>
      <v xml:space="preserve">http://creativecommons.org/licenses/by-sa/3.0/			</v>
    </spb>
    <spb s="1">
      <v>92</v>
      <v>92</v>
      <v>1</v>
      <v>92</v>
      <v>92</v>
      <v>92</v>
      <v>93</v>
      <v>92</v>
      <v>1</v>
      <v>92</v>
      <v>1</v>
      <v>94</v>
      <v>92</v>
      <v>1</v>
      <v>1</v>
      <v>1</v>
      <v>1</v>
      <v>94</v>
      <v>1</v>
      <v>1</v>
      <v>1</v>
      <v>1</v>
      <v>1</v>
      <v>1</v>
      <v>1</v>
      <v>1</v>
      <v>1</v>
      <v>94</v>
      <v>1</v>
      <v>1</v>
      <v>1</v>
      <v>1</v>
    </spb>
    <spb s="0">
      <v xml:space="preserve">Wikipedia	</v>
      <v xml:space="preserve">CC BY-SA 3.0	</v>
      <v xml:space="preserve">https://en.wikipedia.org/wiki/North_Carolina	</v>
      <v xml:space="preserve">https://creativecommons.org/licenses/by-sa/3.0	</v>
    </spb>
    <spb s="0">
      <v xml:space="preserve">Wikipedia	</v>
      <v xml:space="preserve">CC-BY-SA	</v>
      <v xml:space="preserve">http://en.wikipedia.org/wiki/North_Carolina	</v>
      <v xml:space="preserve">http://creativecommons.org/licenses/by-sa/3.0/	</v>
    </spb>
    <spb s="0">
      <v xml:space="preserve">Wikipedia	US Census	US Census	</v>
      <v xml:space="preserve">CC-BY-SA			</v>
      <v xml:space="preserve">http://en.wikipedia.org/wiki/North_Carolina	https://www.census.gov/popest/data/state/asrh/2014/files/SC-EST2014-AGESEX-CIV.csv	http://www.census.gov/quickfacts/table/WTN220212/37	</v>
      <v xml:space="preserve">http://creativecommons.org/licenses/by-sa/3.0/			</v>
    </spb>
    <spb s="1">
      <v>96</v>
      <v>96</v>
      <v>1</v>
      <v>96</v>
      <v>96</v>
      <v>96</v>
      <v>97</v>
      <v>96</v>
      <v>1</v>
      <v>96</v>
      <v>1</v>
      <v>98</v>
      <v>96</v>
      <v>1</v>
      <v>1</v>
      <v>1</v>
      <v>1</v>
      <v>98</v>
      <v>1</v>
      <v>1</v>
      <v>1</v>
      <v>1</v>
      <v>1</v>
      <v>1</v>
      <v>1</v>
      <v>1</v>
      <v>1</v>
      <v>98</v>
      <v>1</v>
      <v>1</v>
      <v>1</v>
      <v>1</v>
    </spb>
    <spb s="0">
      <v xml:space="preserve">Wikipedia	</v>
      <v xml:space="preserve">CC BY-SA 3.0	</v>
      <v xml:space="preserve">https://en.wikipedia.org/wiki/Kentucky	</v>
      <v xml:space="preserve">https://creativecommons.org/licenses/by-sa/3.0	</v>
    </spb>
    <spb s="0">
      <v xml:space="preserve">Wikipedia	</v>
      <v xml:space="preserve">CC-BY-SA	</v>
      <v xml:space="preserve">http://en.wikipedia.org/wiki/Kentucky	</v>
      <v xml:space="preserve">http://creativecommons.org/licenses/by-sa/3.0/	</v>
    </spb>
    <spb s="0">
      <v xml:space="preserve">Wikipedia	US Census	US Census	</v>
      <v xml:space="preserve">CC-BY-SA			</v>
      <v xml:space="preserve">http://en.wikipedia.org/wiki/Kentucky	https://www.census.gov/popest/data/state/asrh/2014/files/SC-EST2014-AGESEX-CIV.csv	http://www.census.gov/quickfacts/table/WTN220212/21	</v>
      <v xml:space="preserve">http://creativecommons.org/licenses/by-sa/3.0/			</v>
    </spb>
    <spb s="1">
      <v>100</v>
      <v>100</v>
      <v>1</v>
      <v>100</v>
      <v>100</v>
      <v>100</v>
      <v>101</v>
      <v>100</v>
      <v>1</v>
      <v>100</v>
      <v>1</v>
      <v>102</v>
      <v>100</v>
      <v>1</v>
      <v>1</v>
      <v>1</v>
      <v>1</v>
      <v>102</v>
      <v>1</v>
      <v>1</v>
      <v>1</v>
      <v>1</v>
      <v>1</v>
      <v>1</v>
      <v>1</v>
      <v>1</v>
      <v>1</v>
      <v>102</v>
      <v>1</v>
      <v>1</v>
      <v>1</v>
      <v>1</v>
    </spb>
    <spb s="0">
      <v xml:space="preserve">Wikipedia	</v>
      <v xml:space="preserve">CC BY-SA 3.0	</v>
      <v xml:space="preserve">https://en.wikipedia.org/wiki/Idaho	</v>
      <v xml:space="preserve">https://creativecommons.org/licenses/by-sa/3.0	</v>
    </spb>
    <spb s="0">
      <v xml:space="preserve">Wikipedia	</v>
      <v xml:space="preserve">CC-BY-SA	</v>
      <v xml:space="preserve">http://en.wikipedia.org/wiki/Idaho	</v>
      <v xml:space="preserve">http://creativecommons.org/licenses/by-sa/3.0/	</v>
    </spb>
    <spb s="0">
      <v xml:space="preserve">Wikipedia	US Census	US Census	</v>
      <v xml:space="preserve">CC-BY-SA			</v>
      <v xml:space="preserve">http://en.wikipedia.org/wiki/Idaho	https://www.census.gov/popest/data/state/asrh/2014/files/SC-EST2014-AGESEX-CIV.csv	http://www.census.gov/quickfacts/table/WTN220212/16	</v>
      <v xml:space="preserve">http://creativecommons.org/licenses/by-sa/3.0/			</v>
    </spb>
    <spb s="1">
      <v>104</v>
      <v>104</v>
      <v>1</v>
      <v>104</v>
      <v>104</v>
      <v>104</v>
      <v>105</v>
      <v>104</v>
      <v>1</v>
      <v>104</v>
      <v>1</v>
      <v>106</v>
      <v>104</v>
      <v>1</v>
      <v>1</v>
      <v>1</v>
      <v>1</v>
      <v>106</v>
      <v>1</v>
      <v>1</v>
      <v>1</v>
      <v>1</v>
      <v>1</v>
      <v>1</v>
      <v>1</v>
      <v>1</v>
      <v>1</v>
      <v>106</v>
      <v>1</v>
      <v>1</v>
      <v>1</v>
      <v>1</v>
    </spb>
    <spb s="0">
      <v xml:space="preserve">Wikipedia	</v>
      <v xml:space="preserve">CC BY-SA 3.0	</v>
      <v xml:space="preserve">https://en.wikipedia.org/wiki/Nevada	</v>
      <v xml:space="preserve">https://creativecommons.org/licenses/by-sa/3.0	</v>
    </spb>
    <spb s="0">
      <v xml:space="preserve">Wikipedia	</v>
      <v xml:space="preserve">CC-BY-SA	</v>
      <v xml:space="preserve">http://en.wikipedia.org/wiki/Nevada	</v>
      <v xml:space="preserve">http://creativecommons.org/licenses/by-sa/3.0/	</v>
    </spb>
    <spb s="0">
      <v xml:space="preserve">Wikipedia	US Census	US Census	</v>
      <v xml:space="preserve">CC-BY-SA			</v>
      <v xml:space="preserve">http://en.wikipedia.org/wiki/Nevada	https://www.census.gov/popest/data/state/asrh/2014/files/SC-EST2014-AGESEX-CIV.csv	http://www.census.gov/quickfacts/table/WTN220212/32	</v>
      <v xml:space="preserve">http://creativecommons.org/licenses/by-sa/3.0/			</v>
    </spb>
    <spb s="1">
      <v>108</v>
      <v>108</v>
      <v>1</v>
      <v>108</v>
      <v>108</v>
      <v>108</v>
      <v>109</v>
      <v>108</v>
      <v>1</v>
      <v>108</v>
      <v>1</v>
      <v>110</v>
      <v>108</v>
      <v>1</v>
      <v>1</v>
      <v>1</v>
      <v>1</v>
      <v>110</v>
      <v>1</v>
      <v>1</v>
      <v>1</v>
      <v>1</v>
      <v>1</v>
      <v>1</v>
      <v>1</v>
      <v>1</v>
      <v>1</v>
      <v>110</v>
      <v>1</v>
      <v>1</v>
      <v>1</v>
      <v>1</v>
    </spb>
    <spb s="0">
      <v xml:space="preserve">Wikipedia	</v>
      <v xml:space="preserve">CC BY-SA 3.0	</v>
      <v xml:space="preserve">https://en.wikipedia.org/wiki/Montana	</v>
      <v xml:space="preserve">https://creativecommons.org/licenses/by-sa/3.0	</v>
    </spb>
    <spb s="0">
      <v xml:space="preserve">Wikipedia	</v>
      <v xml:space="preserve">CC-BY-SA	</v>
      <v xml:space="preserve">http://en.wikipedia.org/wiki/Montana	</v>
      <v xml:space="preserve">http://creativecommons.org/licenses/by-sa/3.0/	</v>
    </spb>
    <spb s="0">
      <v xml:space="preserve">Wikipedia	US Census	US Census	</v>
      <v xml:space="preserve">CC-BY-SA			</v>
      <v xml:space="preserve">http://en.wikipedia.org/wiki/Montana	https://www.census.gov/popest/data/state/asrh/2014/files/SC-EST2014-AGESEX-CIV.csv	http://www.census.gov/quickfacts/table/lnd110210/30	</v>
      <v xml:space="preserve">http://creativecommons.org/licenses/by-sa/3.0/			</v>
    </spb>
    <spb s="1">
      <v>112</v>
      <v>112</v>
      <v>1</v>
      <v>112</v>
      <v>112</v>
      <v>112</v>
      <v>113</v>
      <v>112</v>
      <v>1</v>
      <v>112</v>
      <v>1</v>
      <v>114</v>
      <v>112</v>
      <v>1</v>
      <v>1</v>
      <v>1</v>
      <v>1</v>
      <v>114</v>
      <v>1</v>
      <v>1</v>
      <v>1</v>
      <v>1</v>
      <v>1</v>
      <v>1</v>
      <v>1</v>
      <v>1</v>
      <v>1</v>
      <v>114</v>
      <v>1</v>
      <v>1</v>
      <v>1</v>
      <v>1</v>
    </spb>
    <spb s="0">
      <v xml:space="preserve">Wikipedia	</v>
      <v xml:space="preserve">CC BY-SA 3.0	</v>
      <v xml:space="preserve">https://en.wikipedia.org/wiki/Oregon	</v>
      <v xml:space="preserve">https://creativecommons.org/licenses/by-sa/3.0	</v>
    </spb>
    <spb s="0">
      <v xml:space="preserve">Wikipedia	</v>
      <v xml:space="preserve">CC-BY-SA	</v>
      <v xml:space="preserve">http://en.wikipedia.org/wiki/Oregon	</v>
      <v xml:space="preserve">http://creativecommons.org/licenses/by-sa/3.0/	</v>
    </spb>
    <spb s="0">
      <v xml:space="preserve">Wikipedia	US Census	US Census	</v>
      <v xml:space="preserve">CC-BY-SA			</v>
      <v xml:space="preserve">http://en.wikipedia.org/wiki/Oregon	https://www.census.gov/popest/data/state/asrh/2014/files/SC-EST2014-AGESEX-CIV.csv	http://www.census.gov/quickfacts/table/WTN220212/41	</v>
      <v xml:space="preserve">http://creativecommons.org/licenses/by-sa/3.0/			</v>
    </spb>
    <spb s="1">
      <v>116</v>
      <v>116</v>
      <v>1</v>
      <v>116</v>
      <v>116</v>
      <v>116</v>
      <v>117</v>
      <v>116</v>
      <v>1</v>
      <v>116</v>
      <v>1</v>
      <v>118</v>
      <v>116</v>
      <v>1</v>
      <v>1</v>
      <v>1</v>
      <v>1</v>
      <v>118</v>
      <v>1</v>
      <v>1</v>
      <v>1</v>
      <v>1</v>
      <v>1</v>
      <v>1</v>
      <v>1</v>
      <v>1</v>
      <v>1</v>
      <v>118</v>
      <v>1</v>
      <v>1</v>
      <v>1</v>
      <v>1</v>
    </spb>
    <spb s="0">
      <v xml:space="preserve">Wikipedia	</v>
      <v xml:space="preserve">CC BY-SA 3.0	</v>
      <v xml:space="preserve">https://en.wikipedia.org/wiki/North_Dakota	</v>
      <v xml:space="preserve">https://creativecommons.org/licenses/by-sa/3.0	</v>
    </spb>
    <spb s="0">
      <v xml:space="preserve">Wikipedia	</v>
      <v xml:space="preserve">CC-BY-SA	</v>
      <v xml:space="preserve">http://en.wikipedia.org/wiki/North_Dakota	</v>
      <v xml:space="preserve">http://creativecommons.org/licenses/by-sa/3.0/	</v>
    </spb>
    <spb s="0">
      <v xml:space="preserve">Wikipedia	US Census	US Census	</v>
      <v xml:space="preserve">CC-BY-SA			</v>
      <v xml:space="preserve">http://en.wikipedia.org/wiki/North_Dakota	https://www.census.gov/popest/data/state/asrh/2014/files/SC-EST2014-AGESEX-CIV.csv	http://www.census.gov/quickfacts/table/VET605214/38	</v>
      <v xml:space="preserve">http://creativecommons.org/licenses/by-sa/3.0/			</v>
    </spb>
    <spb s="1">
      <v>120</v>
      <v>120</v>
      <v>1</v>
      <v>120</v>
      <v>120</v>
      <v>120</v>
      <v>121</v>
      <v>120</v>
      <v>1</v>
      <v>120</v>
      <v>1</v>
      <v>122</v>
      <v>120</v>
      <v>1</v>
      <v>1</v>
      <v>1</v>
      <v>1</v>
      <v>122</v>
      <v>1</v>
      <v>1</v>
      <v>1</v>
      <v>1</v>
      <v>1</v>
      <v>1</v>
      <v>1</v>
      <v>1</v>
      <v>1</v>
      <v>122</v>
      <v>1</v>
      <v>1</v>
      <v>1</v>
      <v>1</v>
    </spb>
    <spb s="0">
      <v xml:space="preserve">Wikipedia	</v>
      <v xml:space="preserve">CC BY-SA 3.0	</v>
      <v xml:space="preserve">https://en.wikipedia.org/wiki/Arizona	</v>
      <v xml:space="preserve">https://creativecommons.org/licenses/by-sa/3.0	</v>
    </spb>
    <spb s="0">
      <v xml:space="preserve">Wikipedia	</v>
      <v xml:space="preserve">CC-BY-SA	</v>
      <v xml:space="preserve">http://en.wikipedia.org/wiki/Arizona	</v>
      <v xml:space="preserve">http://creativecommons.org/licenses/by-sa/3.0/	</v>
    </spb>
    <spb s="0">
      <v xml:space="preserve">Wikipedia	US Census	US Census	</v>
      <v xml:space="preserve">CC-BY-SA			</v>
      <v xml:space="preserve">http://en.wikipedia.org/wiki/Arizona	https://www.census.gov/popest/data/state/asrh/2014/files/SC-EST2014-AGESEX-CIV.csv	http://www.census.gov/quickfacts/table/age775215/04	</v>
      <v xml:space="preserve">http://creativecommons.org/licenses/by-sa/3.0/			</v>
    </spb>
    <spb s="1">
      <v>124</v>
      <v>124</v>
      <v>1</v>
      <v>124</v>
      <v>124</v>
      <v>124</v>
      <v>125</v>
      <v>124</v>
      <v>1</v>
      <v>124</v>
      <v>1</v>
      <v>126</v>
      <v>124</v>
      <v>1</v>
      <v>1</v>
      <v>1</v>
      <v>1</v>
      <v>126</v>
      <v>1</v>
      <v>1</v>
      <v>1</v>
      <v>1</v>
      <v>1</v>
      <v>1</v>
      <v>1</v>
      <v>1</v>
      <v>1</v>
      <v>126</v>
      <v>1</v>
      <v>1</v>
      <v>1</v>
      <v>1</v>
    </spb>
    <spb s="0">
      <v xml:space="preserve">Wikipedia	</v>
      <v xml:space="preserve">CC BY-SA 3.0	</v>
      <v xml:space="preserve">https://en.wikipedia.org/wiki/Maine	</v>
      <v xml:space="preserve">https://creativecommons.org/licenses/by-sa/3.0	</v>
    </spb>
    <spb s="0">
      <v xml:space="preserve">Wikipedia	</v>
      <v xml:space="preserve">CC-BY-SA	</v>
      <v xml:space="preserve">http://en.wikipedia.org/wiki/Maine	</v>
      <v xml:space="preserve">http://creativecommons.org/licenses/by-sa/3.0/	</v>
    </spb>
    <spb s="0">
      <v xml:space="preserve">Wikipedia	US Census	US Census	</v>
      <v xml:space="preserve">CC-BY-SA			</v>
      <v xml:space="preserve">http://en.wikipedia.org/wiki/Maine	https://www.census.gov/popest/data/state/asrh/2014/files/SC-EST2014-AGESEX-CIV.csv	http://www.census.gov/quickfacts/table/WTN220212/23	</v>
      <v xml:space="preserve">http://creativecommons.org/licenses/by-sa/3.0/			</v>
    </spb>
    <spb s="9">
      <v>128</v>
      <v>128</v>
      <v>1</v>
      <v>128</v>
      <v>128</v>
      <v>128</v>
      <v>129</v>
      <v>128</v>
      <v>1</v>
      <v>128</v>
      <v>1</v>
      <v>130</v>
      <v>128</v>
      <v>1</v>
      <v>1</v>
      <v>1</v>
      <v>1</v>
      <v>130</v>
      <v>1</v>
      <v>1</v>
      <v>1</v>
      <v>1</v>
      <v>1</v>
      <v>1</v>
      <v>1</v>
      <v>1</v>
      <v>1</v>
      <v>130</v>
      <v>1</v>
      <v>1</v>
      <v>1</v>
    </spb>
    <spb s="0">
      <v xml:space="preserve">Wikipedia	</v>
      <v xml:space="preserve">CC BY-SA 3.0	</v>
      <v xml:space="preserve">https://maine.fandom.com/wiki/Maine	</v>
      <v xml:space="preserve">https://creativecommons.org/licenses/by-sa/3.0	</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_Self" t="i"/>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5">
    <x:dxf>
      <x:numFmt numFmtId="3" formatCode="#,##0"/>
    </x:dxf>
    <x:dxf>
      <x:numFmt numFmtId="0" formatCode="General"/>
    </x:dxf>
    <x:dxf>
      <x:numFmt numFmtId="2" formatCode="0.00"/>
    </x:dxf>
    <x:dxf>
      <x:numFmt numFmtId="14" formatCode="0.00%"/>
    </x:dxf>
    <x:dxf>
      <x:numFmt numFmtId="13" formatCode="0%"/>
    </x:dxf>
  </dxfs>
  <richProperties>
    <rPr n="IsTitleField" t="b"/>
    <rPr n="IsHeroField" t="b"/>
    <rPr n="NumberFormat" t="s"/>
  </richProperties>
  <richStyles>
    <rSty>
      <rpv i="0">1</rpv>
    </rSty>
    <rSty>
      <rpv i="1">1</rpv>
    </rSty>
    <rSty dxfid="0">
      <rpv i="2">#,##0</rpv>
    </rSty>
    <rSty dxfid="1">
      <rpv i="2">_([$$-en-US]* #,##0_);_([$$-en-US]* (#,##0);_([$$-en-US]* "-"_);_(@_)</rpv>
    </rSty>
    <rSty dxfid="2">
      <rpv i="2">0.00</rpv>
    </rSty>
    <rSty dxfid="3">
      <rpv i="2">0.0%</rpv>
    </rSty>
    <rSty dxfid="4"/>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69D2F4-41FF-44C1-8126-3050E522A0B9}" name="Table1" displayName="Table1" ref="A1:AL312" totalsRowShown="0">
  <autoFilter ref="A1:AL312" xr:uid="{1F69D2F4-41FF-44C1-8126-3050E522A0B9}"/>
  <tableColumns count="38">
    <tableColumn id="1" xr3:uid="{A43CC853-CD7D-46A0-B4F1-314712DA8735}" name="Name"/>
    <tableColumn id="2" xr3:uid="{260EACB5-BD3E-497B-B353-1C07DEC085BB}" name="EmpID"/>
    <tableColumn id="3" xr3:uid="{E394ED82-1BE5-4134-B656-7FD373EFD6F2}" name="MarriedID"/>
    <tableColumn id="4" xr3:uid="{28325B61-F3D0-4A0F-A542-5DC40EA5E5CE}" name="MaritalStatusID"/>
    <tableColumn id="5" xr3:uid="{AA3A2B83-007E-4243-986F-6143DFDE6B75}" name="GenderID"/>
    <tableColumn id="6" xr3:uid="{5D8CD77F-ABF8-400D-B928-585F8B6025BC}" name="EmpStatusID"/>
    <tableColumn id="7" xr3:uid="{334D21F8-2216-409B-811E-7A81A325204A}" name="DeptID"/>
    <tableColumn id="8" xr3:uid="{D7E6ADD8-E5FE-4C67-A715-A57AB83B1A2E}" name="PerfScoreID"/>
    <tableColumn id="9" xr3:uid="{ECC9834D-D21E-4035-8691-EC9D40A16F91}" name="FromDiversityJobFairID"/>
    <tableColumn id="10" xr3:uid="{F87FFA28-E627-4F72-9A43-138611CAABDA}" name="Salary"/>
    <tableColumn id="11" xr3:uid="{D7971360-261C-4DCA-B8DD-215322023D9E}" name="Termd"/>
    <tableColumn id="12" xr3:uid="{97024948-E997-4B42-8E9F-AF69AFE96A0C}" name="PositionID"/>
    <tableColumn id="13" xr3:uid="{225049B7-2D7A-47C8-B1F7-BB143F146569}" name="Position"/>
    <tableColumn id="14" xr3:uid="{C1A6F3A0-EAE0-4924-8E24-AF5BFF89C630}" name="State"/>
    <tableColumn id="15" xr3:uid="{040967AF-DEEF-47B0-8709-32A7BA0B0D7D}" name="Zip"/>
    <tableColumn id="16" xr3:uid="{EA3755F1-7A51-4670-9797-5628079EE95D}" name="DOB"/>
    <tableColumn id="17" xr3:uid="{E415347C-22FD-4E48-9589-7AB5C5B1B5A3}" name="Sex"/>
    <tableColumn id="18" xr3:uid="{5CB395C5-3756-47DC-9DF8-3B7F0AFEE205}" name="Age">
      <calculatedColumnFormula>DATEDIF(P2, TODAY(), "Y")</calculatedColumnFormula>
    </tableColumn>
    <tableColumn id="19" xr3:uid="{245013C1-BBB2-4CB7-B6FA-B11DBD2971F4}" name="MaritalDesc"/>
    <tableColumn id="20" xr3:uid="{2AEEE602-1216-44EB-96E7-640A3ED19374}" name="CitizenDesc"/>
    <tableColumn id="21" xr3:uid="{AA326EC0-0F7F-4AEF-A3E8-7FBEA0CEDA47}" name="HispanicLatino"/>
    <tableColumn id="22" xr3:uid="{311336F1-CA95-4BB5-8B4E-7F1CC26BBAFC}" name="RaceDesc"/>
    <tableColumn id="23" xr3:uid="{32C1831A-5CBB-4C35-A5AA-16D58F90EF43}" name="DateofHire"/>
    <tableColumn id="24" xr3:uid="{35115FBD-519A-4B5F-959C-C909D3C0B08F}" name="YearsAtCompany">
      <calculatedColumnFormula>DATEDIF(W2, TODAY(), "Y")</calculatedColumnFormula>
    </tableColumn>
    <tableColumn id="25" xr3:uid="{16A5E8CD-445F-4018-8B37-623E69B4899B}" name="DateofTermination"/>
    <tableColumn id="26" xr3:uid="{DA60D681-24CE-4D56-956E-3358CDDDBB5B}" name="DaysUntilTermination" dataDxfId="0">
      <calculatedColumnFormula>IF(Y2="", "", IFERROR( DATEDIF(TODAY(), Y2, "D"), ""))</calculatedColumnFormula>
    </tableColumn>
    <tableColumn id="27" xr3:uid="{1603E14C-461D-4B1C-A44A-244FE8D1762D}" name="EmploymentStatus"/>
    <tableColumn id="28" xr3:uid="{F4C92477-4C84-4F80-B194-FF136B56F6BD}" name="Department"/>
    <tableColumn id="29" xr3:uid="{2342950B-8B2C-48D5-B3FE-6BE7E9C50EE9}" name="ManagerName"/>
    <tableColumn id="30" xr3:uid="{6F96AF48-AC09-4C96-9E12-8E69B3942D5D}" name="ManagerID"/>
    <tableColumn id="31" xr3:uid="{2938B95A-6B83-426B-A2A8-852553A975F3}" name="RecruitmentSource"/>
    <tableColumn id="32" xr3:uid="{0A9C8E8B-74D3-41E4-A4D7-B3AD39F2F521}" name="PerformanceScore"/>
    <tableColumn id="33" xr3:uid="{DF72AE30-29DC-4DA3-AF3E-DBC4FEE62B00}" name="EngagementSurvey"/>
    <tableColumn id="34" xr3:uid="{8FE2914F-B78E-44A4-92FA-91A1384DFBC6}" name="EmpSatisfaction"/>
    <tableColumn id="35" xr3:uid="{82FC09B6-A93A-4D10-B160-15B364C1E94A}" name="SpecialProjectsCount"/>
    <tableColumn id="36" xr3:uid="{7DFAB8C9-03E2-407D-8EF3-9599776706AD}" name="LastPerformanceReview_Date"/>
    <tableColumn id="37" xr3:uid="{ED0BCC6B-B184-4A0E-B96C-1DE0B4636E8A}" name="DaysLateLast30"/>
    <tableColumn id="38" xr3:uid="{C8BDE67A-56F7-4811-BCE6-8416B6A646FE}" name="Absenc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09A8C-9C32-4757-BE78-5089C1102F7E}">
  <dimension ref="A1:AL312"/>
  <sheetViews>
    <sheetView tabSelected="1" workbookViewId="0">
      <selection sqref="A1:AL312"/>
    </sheetView>
  </sheetViews>
  <sheetFormatPr defaultRowHeight="15" x14ac:dyDescent="0.25"/>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v>10026</v>
      </c>
      <c r="C2">
        <v>0</v>
      </c>
      <c r="D2">
        <v>0</v>
      </c>
      <c r="E2">
        <v>1</v>
      </c>
      <c r="F2">
        <v>1</v>
      </c>
      <c r="G2">
        <v>5</v>
      </c>
      <c r="H2">
        <v>4</v>
      </c>
      <c r="I2">
        <v>0</v>
      </c>
      <c r="J2">
        <v>62506</v>
      </c>
      <c r="K2">
        <v>0</v>
      </c>
      <c r="L2">
        <v>19</v>
      </c>
      <c r="M2" t="s">
        <v>39</v>
      </c>
      <c r="N2" t="e" vm="1">
        <v>#VALUE!</v>
      </c>
      <c r="O2">
        <v>1960</v>
      </c>
      <c r="P2" t="s">
        <v>40</v>
      </c>
      <c r="Q2" t="s">
        <v>41</v>
      </c>
      <c r="R2">
        <f t="shared" ref="R2:R65" ca="1" si="0">DATEDIF(P2, TODAY(), "Y")</f>
        <v>41</v>
      </c>
      <c r="S2" t="s">
        <v>42</v>
      </c>
      <c r="T2" t="s">
        <v>43</v>
      </c>
      <c r="U2" t="s">
        <v>44</v>
      </c>
      <c r="V2" t="s">
        <v>45</v>
      </c>
      <c r="W2" t="s">
        <v>46</v>
      </c>
      <c r="X2">
        <f ca="1">DATEDIF(W2, TODAY(), "Y")</f>
        <v>7</v>
      </c>
      <c r="Z2" t="str">
        <f t="shared" ref="Z2:Z65" ca="1" si="1">IF(Y2="", "", IFERROR( DATEDIF(TODAY(), Y2, "D"), ""))</f>
        <v/>
      </c>
      <c r="AA2" t="s">
        <v>47</v>
      </c>
      <c r="AB2" t="s">
        <v>48</v>
      </c>
      <c r="AC2" t="s">
        <v>49</v>
      </c>
      <c r="AD2">
        <v>22</v>
      </c>
      <c r="AE2" t="s">
        <v>50</v>
      </c>
      <c r="AF2" t="s">
        <v>51</v>
      </c>
      <c r="AG2">
        <v>4.5999999999999996</v>
      </c>
      <c r="AH2">
        <v>5</v>
      </c>
      <c r="AI2">
        <v>0</v>
      </c>
      <c r="AJ2" t="s">
        <v>52</v>
      </c>
      <c r="AK2">
        <v>0</v>
      </c>
      <c r="AL2">
        <v>1</v>
      </c>
    </row>
    <row r="3" spans="1:38" x14ac:dyDescent="0.25">
      <c r="A3" t="s">
        <v>53</v>
      </c>
      <c r="B3">
        <v>10084</v>
      </c>
      <c r="C3">
        <v>1</v>
      </c>
      <c r="D3">
        <v>1</v>
      </c>
      <c r="E3">
        <v>1</v>
      </c>
      <c r="F3">
        <v>5</v>
      </c>
      <c r="G3">
        <v>3</v>
      </c>
      <c r="H3">
        <v>3</v>
      </c>
      <c r="I3">
        <v>0</v>
      </c>
      <c r="J3">
        <v>104437</v>
      </c>
      <c r="K3">
        <v>1</v>
      </c>
      <c r="L3">
        <v>27</v>
      </c>
      <c r="M3" t="s">
        <v>54</v>
      </c>
      <c r="N3" t="e" vm="1">
        <v>#VALUE!</v>
      </c>
      <c r="O3">
        <v>2148</v>
      </c>
      <c r="P3" t="s">
        <v>55</v>
      </c>
      <c r="Q3" t="s">
        <v>41</v>
      </c>
      <c r="R3">
        <f t="shared" ca="1" si="0"/>
        <v>50</v>
      </c>
      <c r="S3" t="s">
        <v>56</v>
      </c>
      <c r="T3" t="s">
        <v>43</v>
      </c>
      <c r="U3" t="s">
        <v>44</v>
      </c>
      <c r="V3" t="s">
        <v>45</v>
      </c>
      <c r="W3" t="s">
        <v>57</v>
      </c>
      <c r="X3">
        <f t="shared" ref="X3:X66" ca="1" si="2">DATEDIF(W3, TODAY(), "Y")</f>
        <v>3</v>
      </c>
      <c r="Y3" t="s">
        <v>58</v>
      </c>
      <c r="Z3">
        <f t="shared" ca="1" si="1"/>
        <v>340</v>
      </c>
      <c r="AA3" t="s">
        <v>59</v>
      </c>
      <c r="AB3" t="s">
        <v>60</v>
      </c>
      <c r="AC3" t="s">
        <v>61</v>
      </c>
      <c r="AD3">
        <v>4</v>
      </c>
      <c r="AE3" t="s">
        <v>62</v>
      </c>
      <c r="AF3" t="s">
        <v>63</v>
      </c>
      <c r="AG3">
        <v>4.96</v>
      </c>
      <c r="AH3">
        <v>3</v>
      </c>
      <c r="AI3">
        <v>6</v>
      </c>
      <c r="AJ3" t="s">
        <v>64</v>
      </c>
      <c r="AK3">
        <v>0</v>
      </c>
      <c r="AL3">
        <v>17</v>
      </c>
    </row>
    <row r="4" spans="1:38" x14ac:dyDescent="0.25">
      <c r="A4" t="s">
        <v>65</v>
      </c>
      <c r="B4">
        <v>10196</v>
      </c>
      <c r="C4">
        <v>1</v>
      </c>
      <c r="D4">
        <v>1</v>
      </c>
      <c r="E4">
        <v>0</v>
      </c>
      <c r="F4">
        <v>5</v>
      </c>
      <c r="G4">
        <v>5</v>
      </c>
      <c r="H4">
        <v>3</v>
      </c>
      <c r="I4">
        <v>0</v>
      </c>
      <c r="J4">
        <v>64955</v>
      </c>
      <c r="K4">
        <v>1</v>
      </c>
      <c r="L4">
        <v>20</v>
      </c>
      <c r="M4" t="s">
        <v>66</v>
      </c>
      <c r="N4" t="e" vm="1">
        <v>#VALUE!</v>
      </c>
      <c r="O4">
        <v>1810</v>
      </c>
      <c r="P4" t="s">
        <v>67</v>
      </c>
      <c r="Q4" t="s">
        <v>68</v>
      </c>
      <c r="R4">
        <f t="shared" ca="1" si="0"/>
        <v>32</v>
      </c>
      <c r="S4" t="s">
        <v>56</v>
      </c>
      <c r="T4" t="s">
        <v>43</v>
      </c>
      <c r="U4" t="s">
        <v>44</v>
      </c>
      <c r="V4" t="s">
        <v>45</v>
      </c>
      <c r="W4" t="s">
        <v>46</v>
      </c>
      <c r="X4">
        <f t="shared" ca="1" si="2"/>
        <v>7</v>
      </c>
      <c r="Y4" t="s">
        <v>69</v>
      </c>
      <c r="Z4">
        <f t="shared" ca="1" si="1"/>
        <v>316</v>
      </c>
      <c r="AA4" t="s">
        <v>59</v>
      </c>
      <c r="AB4" t="s">
        <v>48</v>
      </c>
      <c r="AC4" t="s">
        <v>70</v>
      </c>
      <c r="AD4">
        <v>20</v>
      </c>
      <c r="AE4" t="s">
        <v>50</v>
      </c>
      <c r="AF4" t="s">
        <v>63</v>
      </c>
      <c r="AG4">
        <v>3.02</v>
      </c>
      <c r="AH4">
        <v>3</v>
      </c>
      <c r="AI4">
        <v>0</v>
      </c>
      <c r="AJ4" t="s">
        <v>71</v>
      </c>
      <c r="AK4">
        <v>0</v>
      </c>
      <c r="AL4">
        <v>3</v>
      </c>
    </row>
    <row r="5" spans="1:38" x14ac:dyDescent="0.25">
      <c r="A5" t="s">
        <v>72</v>
      </c>
      <c r="B5">
        <v>10088</v>
      </c>
      <c r="C5">
        <v>1</v>
      </c>
      <c r="D5">
        <v>1</v>
      </c>
      <c r="E5">
        <v>0</v>
      </c>
      <c r="F5">
        <v>1</v>
      </c>
      <c r="G5">
        <v>5</v>
      </c>
      <c r="H5">
        <v>3</v>
      </c>
      <c r="I5">
        <v>0</v>
      </c>
      <c r="J5">
        <v>64991</v>
      </c>
      <c r="K5">
        <v>0</v>
      </c>
      <c r="L5">
        <v>19</v>
      </c>
      <c r="M5" t="s">
        <v>39</v>
      </c>
      <c r="N5" t="e" vm="1">
        <v>#VALUE!</v>
      </c>
      <c r="O5">
        <v>1886</v>
      </c>
      <c r="P5" t="s">
        <v>73</v>
      </c>
      <c r="Q5" t="s">
        <v>68</v>
      </c>
      <c r="R5">
        <f t="shared" ca="1" si="0"/>
        <v>33</v>
      </c>
      <c r="S5" t="s">
        <v>56</v>
      </c>
      <c r="T5" t="s">
        <v>43</v>
      </c>
      <c r="U5" t="s">
        <v>44</v>
      </c>
      <c r="V5" t="s">
        <v>45</v>
      </c>
      <c r="W5" t="s">
        <v>74</v>
      </c>
      <c r="X5">
        <f t="shared" ca="1" si="2"/>
        <v>11</v>
      </c>
      <c r="Z5" t="str">
        <f t="shared" ca="1" si="1"/>
        <v/>
      </c>
      <c r="AA5" t="s">
        <v>47</v>
      </c>
      <c r="AB5" t="s">
        <v>48</v>
      </c>
      <c r="AC5" t="s">
        <v>75</v>
      </c>
      <c r="AD5">
        <v>16</v>
      </c>
      <c r="AE5" t="s">
        <v>62</v>
      </c>
      <c r="AF5" t="s">
        <v>63</v>
      </c>
      <c r="AG5">
        <v>4.84</v>
      </c>
      <c r="AH5">
        <v>5</v>
      </c>
      <c r="AI5">
        <v>0</v>
      </c>
      <c r="AJ5" t="s">
        <v>76</v>
      </c>
      <c r="AK5">
        <v>0</v>
      </c>
      <c r="AL5">
        <v>15</v>
      </c>
    </row>
    <row r="6" spans="1:38" x14ac:dyDescent="0.25">
      <c r="A6" t="s">
        <v>77</v>
      </c>
      <c r="B6">
        <v>10069</v>
      </c>
      <c r="C6">
        <v>0</v>
      </c>
      <c r="D6">
        <v>2</v>
      </c>
      <c r="E6">
        <v>0</v>
      </c>
      <c r="F6">
        <v>5</v>
      </c>
      <c r="G6">
        <v>5</v>
      </c>
      <c r="H6">
        <v>3</v>
      </c>
      <c r="I6">
        <v>0</v>
      </c>
      <c r="J6">
        <v>50825</v>
      </c>
      <c r="K6">
        <v>1</v>
      </c>
      <c r="L6">
        <v>19</v>
      </c>
      <c r="M6" t="s">
        <v>39</v>
      </c>
      <c r="N6" t="e" vm="1">
        <v>#VALUE!</v>
      </c>
      <c r="O6">
        <v>2169</v>
      </c>
      <c r="P6" t="s">
        <v>78</v>
      </c>
      <c r="Q6" t="s">
        <v>68</v>
      </c>
      <c r="R6">
        <f t="shared" ca="1" si="0"/>
        <v>32</v>
      </c>
      <c r="S6" t="s">
        <v>79</v>
      </c>
      <c r="T6" t="s">
        <v>43</v>
      </c>
      <c r="U6" t="s">
        <v>44</v>
      </c>
      <c r="V6" t="s">
        <v>45</v>
      </c>
      <c r="W6" t="s">
        <v>80</v>
      </c>
      <c r="X6">
        <f t="shared" ca="1" si="2"/>
        <v>7</v>
      </c>
      <c r="Y6" t="s">
        <v>81</v>
      </c>
      <c r="Z6">
        <f t="shared" ca="1" si="1"/>
        <v>131</v>
      </c>
      <c r="AA6" t="s">
        <v>59</v>
      </c>
      <c r="AB6" t="s">
        <v>48</v>
      </c>
      <c r="AC6" t="s">
        <v>82</v>
      </c>
      <c r="AD6">
        <v>39</v>
      </c>
      <c r="AE6" t="s">
        <v>83</v>
      </c>
      <c r="AF6" t="s">
        <v>63</v>
      </c>
      <c r="AG6">
        <v>5</v>
      </c>
      <c r="AH6">
        <v>4</v>
      </c>
      <c r="AI6">
        <v>0</v>
      </c>
      <c r="AJ6" t="s">
        <v>84</v>
      </c>
      <c r="AK6">
        <v>0</v>
      </c>
      <c r="AL6">
        <v>2</v>
      </c>
    </row>
    <row r="7" spans="1:38" x14ac:dyDescent="0.25">
      <c r="A7" t="s">
        <v>85</v>
      </c>
      <c r="B7">
        <v>10002</v>
      </c>
      <c r="C7">
        <v>0</v>
      </c>
      <c r="D7">
        <v>0</v>
      </c>
      <c r="E7">
        <v>0</v>
      </c>
      <c r="F7">
        <v>1</v>
      </c>
      <c r="G7">
        <v>5</v>
      </c>
      <c r="H7">
        <v>4</v>
      </c>
      <c r="I7">
        <v>0</v>
      </c>
      <c r="J7">
        <v>57568</v>
      </c>
      <c r="K7">
        <v>0</v>
      </c>
      <c r="L7">
        <v>19</v>
      </c>
      <c r="M7" t="s">
        <v>39</v>
      </c>
      <c r="N7" t="e" vm="1">
        <v>#VALUE!</v>
      </c>
      <c r="O7">
        <v>1844</v>
      </c>
      <c r="P7" t="s">
        <v>86</v>
      </c>
      <c r="Q7" t="s">
        <v>68</v>
      </c>
      <c r="R7">
        <f t="shared" ca="1" si="0"/>
        <v>46</v>
      </c>
      <c r="S7" t="s">
        <v>42</v>
      </c>
      <c r="T7" t="s">
        <v>43</v>
      </c>
      <c r="U7" t="s">
        <v>44</v>
      </c>
      <c r="V7" t="s">
        <v>45</v>
      </c>
      <c r="W7" t="s">
        <v>87</v>
      </c>
      <c r="X7">
        <f t="shared" ca="1" si="2"/>
        <v>7</v>
      </c>
      <c r="Z7" t="str">
        <f t="shared" ca="1" si="1"/>
        <v/>
      </c>
      <c r="AA7" t="s">
        <v>47</v>
      </c>
      <c r="AB7" t="s">
        <v>48</v>
      </c>
      <c r="AC7" t="s">
        <v>88</v>
      </c>
      <c r="AD7">
        <v>11</v>
      </c>
      <c r="AE7" t="s">
        <v>50</v>
      </c>
      <c r="AF7" t="s">
        <v>51</v>
      </c>
      <c r="AG7">
        <v>5</v>
      </c>
      <c r="AH7">
        <v>5</v>
      </c>
      <c r="AI7">
        <v>0</v>
      </c>
      <c r="AJ7" t="s">
        <v>89</v>
      </c>
      <c r="AK7">
        <v>0</v>
      </c>
      <c r="AL7">
        <v>15</v>
      </c>
    </row>
    <row r="8" spans="1:38" x14ac:dyDescent="0.25">
      <c r="A8" t="s">
        <v>90</v>
      </c>
      <c r="B8">
        <v>10194</v>
      </c>
      <c r="C8">
        <v>0</v>
      </c>
      <c r="D8">
        <v>0</v>
      </c>
      <c r="E8">
        <v>0</v>
      </c>
      <c r="F8">
        <v>1</v>
      </c>
      <c r="G8">
        <v>4</v>
      </c>
      <c r="H8">
        <v>3</v>
      </c>
      <c r="I8">
        <v>0</v>
      </c>
      <c r="J8">
        <v>95660</v>
      </c>
      <c r="K8">
        <v>0</v>
      </c>
      <c r="L8">
        <v>24</v>
      </c>
      <c r="M8" t="s">
        <v>91</v>
      </c>
      <c r="N8" t="e" vm="1">
        <v>#VALUE!</v>
      </c>
      <c r="O8">
        <v>2110</v>
      </c>
      <c r="P8" t="s">
        <v>92</v>
      </c>
      <c r="Q8" t="s">
        <v>68</v>
      </c>
      <c r="R8">
        <f t="shared" ca="1" si="0"/>
        <v>45</v>
      </c>
      <c r="S8" t="s">
        <v>42</v>
      </c>
      <c r="T8" t="s">
        <v>43</v>
      </c>
      <c r="U8" t="s">
        <v>44</v>
      </c>
      <c r="V8" t="s">
        <v>45</v>
      </c>
      <c r="W8" t="s">
        <v>93</v>
      </c>
      <c r="X8">
        <f t="shared" ca="1" si="2"/>
        <v>4</v>
      </c>
      <c r="Z8" t="str">
        <f ca="1">IF(Y8="", "", IFERROR( DATEDIF(TODAY(), Y8, "D"), ""))</f>
        <v/>
      </c>
      <c r="AA8" t="s">
        <v>47</v>
      </c>
      <c r="AB8" t="s">
        <v>94</v>
      </c>
      <c r="AC8" t="s">
        <v>95</v>
      </c>
      <c r="AD8">
        <v>10</v>
      </c>
      <c r="AE8" t="s">
        <v>50</v>
      </c>
      <c r="AF8" t="s">
        <v>63</v>
      </c>
      <c r="AG8">
        <v>3.04</v>
      </c>
      <c r="AH8">
        <v>3</v>
      </c>
      <c r="AI8">
        <v>4</v>
      </c>
      <c r="AJ8" t="s">
        <v>96</v>
      </c>
      <c r="AK8">
        <v>0</v>
      </c>
      <c r="AL8">
        <v>19</v>
      </c>
    </row>
    <row r="9" spans="1:38" x14ac:dyDescent="0.25">
      <c r="A9" t="s">
        <v>97</v>
      </c>
      <c r="B9">
        <v>10062</v>
      </c>
      <c r="C9">
        <v>0</v>
      </c>
      <c r="D9">
        <v>4</v>
      </c>
      <c r="E9">
        <v>1</v>
      </c>
      <c r="F9">
        <v>1</v>
      </c>
      <c r="G9">
        <v>5</v>
      </c>
      <c r="H9">
        <v>3</v>
      </c>
      <c r="I9">
        <v>0</v>
      </c>
      <c r="J9">
        <v>59365</v>
      </c>
      <c r="K9">
        <v>0</v>
      </c>
      <c r="L9">
        <v>19</v>
      </c>
      <c r="M9" t="s">
        <v>39</v>
      </c>
      <c r="N9" t="e" vm="1">
        <v>#VALUE!</v>
      </c>
      <c r="O9">
        <v>2199</v>
      </c>
      <c r="P9" t="s">
        <v>98</v>
      </c>
      <c r="Q9" t="s">
        <v>41</v>
      </c>
      <c r="R9">
        <f t="shared" ca="1" si="0"/>
        <v>34</v>
      </c>
      <c r="S9" t="s">
        <v>99</v>
      </c>
      <c r="T9" t="s">
        <v>43</v>
      </c>
      <c r="U9" t="s">
        <v>44</v>
      </c>
      <c r="V9" t="s">
        <v>45</v>
      </c>
      <c r="W9" t="s">
        <v>100</v>
      </c>
      <c r="X9">
        <f t="shared" ca="1" si="2"/>
        <v>5</v>
      </c>
      <c r="Z9" t="str">
        <f t="shared" ca="1" si="1"/>
        <v/>
      </c>
      <c r="AA9" t="s">
        <v>47</v>
      </c>
      <c r="AB9" t="s">
        <v>48</v>
      </c>
      <c r="AC9" t="s">
        <v>101</v>
      </c>
      <c r="AD9">
        <v>19</v>
      </c>
      <c r="AE9" t="s">
        <v>102</v>
      </c>
      <c r="AF9" t="s">
        <v>63</v>
      </c>
      <c r="AG9">
        <v>5</v>
      </c>
      <c r="AH9">
        <v>4</v>
      </c>
      <c r="AI9">
        <v>0</v>
      </c>
      <c r="AJ9" t="s">
        <v>103</v>
      </c>
      <c r="AK9">
        <v>0</v>
      </c>
      <c r="AL9">
        <v>19</v>
      </c>
    </row>
    <row r="10" spans="1:38" x14ac:dyDescent="0.25">
      <c r="A10" t="s">
        <v>104</v>
      </c>
      <c r="B10">
        <v>10114</v>
      </c>
      <c r="C10">
        <v>0</v>
      </c>
      <c r="D10">
        <v>0</v>
      </c>
      <c r="E10">
        <v>0</v>
      </c>
      <c r="F10">
        <v>3</v>
      </c>
      <c r="G10">
        <v>5</v>
      </c>
      <c r="H10">
        <v>3</v>
      </c>
      <c r="I10">
        <v>1</v>
      </c>
      <c r="J10">
        <v>47837</v>
      </c>
      <c r="K10">
        <v>0</v>
      </c>
      <c r="L10">
        <v>19</v>
      </c>
      <c r="M10" t="s">
        <v>39</v>
      </c>
      <c r="N10" t="e" vm="1">
        <v>#VALUE!</v>
      </c>
      <c r="O10">
        <v>1902</v>
      </c>
      <c r="P10" t="s">
        <v>105</v>
      </c>
      <c r="Q10" t="s">
        <v>68</v>
      </c>
      <c r="R10">
        <f t="shared" ca="1" si="0"/>
        <v>54</v>
      </c>
      <c r="S10" t="s">
        <v>42</v>
      </c>
      <c r="T10" t="s">
        <v>43</v>
      </c>
      <c r="U10" t="s">
        <v>44</v>
      </c>
      <c r="V10" t="s">
        <v>106</v>
      </c>
      <c r="W10" t="s">
        <v>107</v>
      </c>
      <c r="X10">
        <f t="shared" ca="1" si="2"/>
        <v>9</v>
      </c>
      <c r="Z10" t="str">
        <f t="shared" ca="1" si="1"/>
        <v/>
      </c>
      <c r="AA10" t="s">
        <v>47</v>
      </c>
      <c r="AB10" t="s">
        <v>48</v>
      </c>
      <c r="AC10" t="s">
        <v>108</v>
      </c>
      <c r="AD10">
        <v>12</v>
      </c>
      <c r="AE10" t="s">
        <v>109</v>
      </c>
      <c r="AF10" t="s">
        <v>63</v>
      </c>
      <c r="AG10">
        <v>4.46</v>
      </c>
      <c r="AH10">
        <v>3</v>
      </c>
      <c r="AI10">
        <v>0</v>
      </c>
      <c r="AJ10" t="s">
        <v>110</v>
      </c>
      <c r="AK10">
        <v>0</v>
      </c>
      <c r="AL10">
        <v>4</v>
      </c>
    </row>
    <row r="11" spans="1:38" x14ac:dyDescent="0.25">
      <c r="A11" t="s">
        <v>111</v>
      </c>
      <c r="B11">
        <v>10250</v>
      </c>
      <c r="C11">
        <v>0</v>
      </c>
      <c r="D11">
        <v>2</v>
      </c>
      <c r="E11">
        <v>1</v>
      </c>
      <c r="F11">
        <v>1</v>
      </c>
      <c r="G11">
        <v>3</v>
      </c>
      <c r="H11">
        <v>3</v>
      </c>
      <c r="I11">
        <v>0</v>
      </c>
      <c r="J11">
        <v>50178</v>
      </c>
      <c r="K11">
        <v>0</v>
      </c>
      <c r="L11">
        <v>14</v>
      </c>
      <c r="M11" t="s">
        <v>112</v>
      </c>
      <c r="N11" t="e" vm="1">
        <v>#VALUE!</v>
      </c>
      <c r="O11">
        <v>1886</v>
      </c>
      <c r="P11" t="s">
        <v>113</v>
      </c>
      <c r="Q11" t="s">
        <v>41</v>
      </c>
      <c r="R11">
        <f t="shared" ca="1" si="0"/>
        <v>28</v>
      </c>
      <c r="S11" t="s">
        <v>79</v>
      </c>
      <c r="T11" t="s">
        <v>43</v>
      </c>
      <c r="U11" t="s">
        <v>44</v>
      </c>
      <c r="V11" t="s">
        <v>45</v>
      </c>
      <c r="W11" t="s">
        <v>114</v>
      </c>
      <c r="X11">
        <f t="shared" ca="1" si="2"/>
        <v>4</v>
      </c>
      <c r="Z11" t="str">
        <f t="shared" ca="1" si="1"/>
        <v/>
      </c>
      <c r="AA11" t="s">
        <v>47</v>
      </c>
      <c r="AB11" t="s">
        <v>60</v>
      </c>
      <c r="AC11" t="s">
        <v>115</v>
      </c>
      <c r="AD11">
        <v>7</v>
      </c>
      <c r="AE11" t="s">
        <v>62</v>
      </c>
      <c r="AF11" t="s">
        <v>63</v>
      </c>
      <c r="AG11">
        <v>5</v>
      </c>
      <c r="AH11">
        <v>5</v>
      </c>
      <c r="AI11">
        <v>6</v>
      </c>
      <c r="AJ11" t="s">
        <v>116</v>
      </c>
      <c r="AK11">
        <v>0</v>
      </c>
      <c r="AL11">
        <v>16</v>
      </c>
    </row>
    <row r="12" spans="1:38" x14ac:dyDescent="0.25">
      <c r="A12" t="s">
        <v>117</v>
      </c>
      <c r="B12">
        <v>10252</v>
      </c>
      <c r="C12">
        <v>1</v>
      </c>
      <c r="D12">
        <v>1</v>
      </c>
      <c r="E12">
        <v>0</v>
      </c>
      <c r="F12">
        <v>5</v>
      </c>
      <c r="G12">
        <v>5</v>
      </c>
      <c r="H12">
        <v>3</v>
      </c>
      <c r="I12">
        <v>1</v>
      </c>
      <c r="J12">
        <v>54670</v>
      </c>
      <c r="K12">
        <v>1</v>
      </c>
      <c r="L12">
        <v>19</v>
      </c>
      <c r="M12" t="s">
        <v>39</v>
      </c>
      <c r="N12" t="e" vm="1">
        <v>#VALUE!</v>
      </c>
      <c r="O12">
        <v>1902</v>
      </c>
      <c r="P12" t="s">
        <v>118</v>
      </c>
      <c r="Q12" t="s">
        <v>68</v>
      </c>
      <c r="R12">
        <f t="shared" ca="1" si="0"/>
        <v>45</v>
      </c>
      <c r="S12" t="s">
        <v>56</v>
      </c>
      <c r="T12" t="s">
        <v>43</v>
      </c>
      <c r="U12" t="s">
        <v>119</v>
      </c>
      <c r="V12" t="s">
        <v>106</v>
      </c>
      <c r="W12" t="s">
        <v>120</v>
      </c>
      <c r="X12">
        <f t="shared" ca="1" si="2"/>
        <v>8</v>
      </c>
      <c r="Y12" t="s">
        <v>121</v>
      </c>
      <c r="Z12">
        <f t="shared" ca="1" si="1"/>
        <v>540</v>
      </c>
      <c r="AA12" t="s">
        <v>59</v>
      </c>
      <c r="AB12" t="s">
        <v>48</v>
      </c>
      <c r="AC12" t="s">
        <v>122</v>
      </c>
      <c r="AD12">
        <v>14</v>
      </c>
      <c r="AE12" t="s">
        <v>109</v>
      </c>
      <c r="AF12" t="s">
        <v>63</v>
      </c>
      <c r="AG12">
        <v>4.2</v>
      </c>
      <c r="AH12">
        <v>4</v>
      </c>
      <c r="AI12">
        <v>0</v>
      </c>
      <c r="AJ12" t="s">
        <v>123</v>
      </c>
      <c r="AK12">
        <v>0</v>
      </c>
      <c r="AL12">
        <v>12</v>
      </c>
    </row>
    <row r="13" spans="1:38" x14ac:dyDescent="0.25">
      <c r="A13" t="s">
        <v>124</v>
      </c>
      <c r="B13">
        <v>10242</v>
      </c>
      <c r="C13">
        <v>1</v>
      </c>
      <c r="D13">
        <v>1</v>
      </c>
      <c r="E13">
        <v>1</v>
      </c>
      <c r="F13">
        <v>5</v>
      </c>
      <c r="G13">
        <v>5</v>
      </c>
      <c r="H13">
        <v>3</v>
      </c>
      <c r="I13">
        <v>1</v>
      </c>
      <c r="J13">
        <v>47211</v>
      </c>
      <c r="K13">
        <v>1</v>
      </c>
      <c r="L13">
        <v>19</v>
      </c>
      <c r="M13" t="s">
        <v>39</v>
      </c>
      <c r="N13" t="e" vm="1">
        <v>#VALUE!</v>
      </c>
      <c r="O13">
        <v>2062</v>
      </c>
      <c r="P13" t="s">
        <v>125</v>
      </c>
      <c r="Q13" t="s">
        <v>41</v>
      </c>
      <c r="R13">
        <f t="shared" ca="1" si="0"/>
        <v>51</v>
      </c>
      <c r="S13" t="s">
        <v>56</v>
      </c>
      <c r="T13" t="s">
        <v>43</v>
      </c>
      <c r="U13" t="s">
        <v>119</v>
      </c>
      <c r="V13" t="s">
        <v>106</v>
      </c>
      <c r="W13" t="s">
        <v>126</v>
      </c>
      <c r="X13">
        <f t="shared" ca="1" si="2"/>
        <v>6</v>
      </c>
      <c r="Y13" t="s">
        <v>127</v>
      </c>
      <c r="Z13">
        <f t="shared" ca="1" si="1"/>
        <v>110</v>
      </c>
      <c r="AA13" t="s">
        <v>59</v>
      </c>
      <c r="AB13" t="s">
        <v>48</v>
      </c>
      <c r="AC13" t="s">
        <v>70</v>
      </c>
      <c r="AD13">
        <v>20</v>
      </c>
      <c r="AE13" t="s">
        <v>109</v>
      </c>
      <c r="AF13" t="s">
        <v>63</v>
      </c>
      <c r="AG13">
        <v>4.2</v>
      </c>
      <c r="AH13">
        <v>3</v>
      </c>
      <c r="AI13">
        <v>0</v>
      </c>
      <c r="AJ13" t="s">
        <v>128</v>
      </c>
      <c r="AK13">
        <v>0</v>
      </c>
      <c r="AL13">
        <v>15</v>
      </c>
    </row>
    <row r="14" spans="1:38" x14ac:dyDescent="0.25">
      <c r="A14" t="s">
        <v>129</v>
      </c>
      <c r="B14">
        <v>10012</v>
      </c>
      <c r="C14">
        <v>0</v>
      </c>
      <c r="D14">
        <v>2</v>
      </c>
      <c r="E14">
        <v>1</v>
      </c>
      <c r="F14">
        <v>1</v>
      </c>
      <c r="G14">
        <v>3</v>
      </c>
      <c r="H14">
        <v>4</v>
      </c>
      <c r="I14">
        <v>1</v>
      </c>
      <c r="J14">
        <v>92328</v>
      </c>
      <c r="K14">
        <v>0</v>
      </c>
      <c r="L14">
        <v>9</v>
      </c>
      <c r="M14" t="s">
        <v>130</v>
      </c>
      <c r="N14" t="e" vm="2">
        <v>#VALUE!</v>
      </c>
      <c r="O14">
        <v>78230</v>
      </c>
      <c r="P14" t="s">
        <v>131</v>
      </c>
      <c r="Q14" t="s">
        <v>41</v>
      </c>
      <c r="R14">
        <f t="shared" ca="1" si="0"/>
        <v>37</v>
      </c>
      <c r="S14" t="s">
        <v>79</v>
      </c>
      <c r="T14" t="s">
        <v>43</v>
      </c>
      <c r="U14" t="s">
        <v>44</v>
      </c>
      <c r="V14" t="s">
        <v>106</v>
      </c>
      <c r="W14" t="s">
        <v>93</v>
      </c>
      <c r="X14">
        <f t="shared" ca="1" si="2"/>
        <v>4</v>
      </c>
      <c r="Z14" t="str">
        <f t="shared" ca="1" si="1"/>
        <v/>
      </c>
      <c r="AA14" t="s">
        <v>47</v>
      </c>
      <c r="AB14" t="s">
        <v>60</v>
      </c>
      <c r="AC14" t="s">
        <v>61</v>
      </c>
      <c r="AD14">
        <v>4</v>
      </c>
      <c r="AE14" t="s">
        <v>109</v>
      </c>
      <c r="AF14" t="s">
        <v>51</v>
      </c>
      <c r="AG14">
        <v>4.28</v>
      </c>
      <c r="AH14">
        <v>4</v>
      </c>
      <c r="AI14">
        <v>5</v>
      </c>
      <c r="AJ14" t="s">
        <v>103</v>
      </c>
      <c r="AK14">
        <v>0</v>
      </c>
      <c r="AL14">
        <v>9</v>
      </c>
    </row>
    <row r="15" spans="1:38" x14ac:dyDescent="0.25">
      <c r="A15" t="s">
        <v>132</v>
      </c>
      <c r="B15">
        <v>10265</v>
      </c>
      <c r="C15">
        <v>0</v>
      </c>
      <c r="D15">
        <v>0</v>
      </c>
      <c r="E15">
        <v>1</v>
      </c>
      <c r="F15">
        <v>1</v>
      </c>
      <c r="G15">
        <v>5</v>
      </c>
      <c r="H15">
        <v>3</v>
      </c>
      <c r="I15">
        <v>0</v>
      </c>
      <c r="J15">
        <v>58709</v>
      </c>
      <c r="K15">
        <v>0</v>
      </c>
      <c r="L15">
        <v>19</v>
      </c>
      <c r="M15" t="s">
        <v>39</v>
      </c>
      <c r="N15" t="e" vm="1">
        <v>#VALUE!</v>
      </c>
      <c r="O15">
        <v>1810</v>
      </c>
      <c r="P15" t="s">
        <v>133</v>
      </c>
      <c r="Q15" t="s">
        <v>41</v>
      </c>
      <c r="R15">
        <f t="shared" ca="1" si="0"/>
        <v>41</v>
      </c>
      <c r="S15" t="s">
        <v>42</v>
      </c>
      <c r="T15" t="s">
        <v>43</v>
      </c>
      <c r="U15" t="s">
        <v>44</v>
      </c>
      <c r="V15" t="s">
        <v>134</v>
      </c>
      <c r="W15" t="s">
        <v>135</v>
      </c>
      <c r="X15">
        <f t="shared" ca="1" si="2"/>
        <v>6</v>
      </c>
      <c r="Z15" t="str">
        <f t="shared" ca="1" si="1"/>
        <v/>
      </c>
      <c r="AA15" t="s">
        <v>47</v>
      </c>
      <c r="AB15" t="s">
        <v>48</v>
      </c>
      <c r="AC15" t="s">
        <v>136</v>
      </c>
      <c r="AD15">
        <v>18</v>
      </c>
      <c r="AE15" t="s">
        <v>83</v>
      </c>
      <c r="AF15" t="s">
        <v>63</v>
      </c>
      <c r="AG15">
        <v>4.5999999999999996</v>
      </c>
      <c r="AH15">
        <v>4</v>
      </c>
      <c r="AI15">
        <v>0</v>
      </c>
      <c r="AJ15" t="s">
        <v>137</v>
      </c>
      <c r="AK15">
        <v>0</v>
      </c>
      <c r="AL15">
        <v>7</v>
      </c>
    </row>
    <row r="16" spans="1:38" x14ac:dyDescent="0.25">
      <c r="A16" t="s">
        <v>138</v>
      </c>
      <c r="B16">
        <v>10066</v>
      </c>
      <c r="C16">
        <v>0</v>
      </c>
      <c r="D16">
        <v>2</v>
      </c>
      <c r="E16">
        <v>1</v>
      </c>
      <c r="F16">
        <v>5</v>
      </c>
      <c r="G16">
        <v>5</v>
      </c>
      <c r="H16">
        <v>3</v>
      </c>
      <c r="I16">
        <v>0</v>
      </c>
      <c r="J16">
        <v>52505</v>
      </c>
      <c r="K16">
        <v>1</v>
      </c>
      <c r="L16">
        <v>19</v>
      </c>
      <c r="M16" t="s">
        <v>39</v>
      </c>
      <c r="N16" t="e" vm="1">
        <v>#VALUE!</v>
      </c>
      <c r="O16">
        <v>2747</v>
      </c>
      <c r="P16" t="s">
        <v>139</v>
      </c>
      <c r="Q16" t="s">
        <v>41</v>
      </c>
      <c r="R16">
        <f t="shared" ca="1" si="0"/>
        <v>45</v>
      </c>
      <c r="S16" t="s">
        <v>79</v>
      </c>
      <c r="T16" t="s">
        <v>43</v>
      </c>
      <c r="U16" t="s">
        <v>44</v>
      </c>
      <c r="V16" t="s">
        <v>45</v>
      </c>
      <c r="W16" t="s">
        <v>140</v>
      </c>
      <c r="X16">
        <f t="shared" ca="1" si="2"/>
        <v>6</v>
      </c>
      <c r="Y16" t="s">
        <v>141</v>
      </c>
      <c r="Z16">
        <f t="shared" ca="1" si="1"/>
        <v>162</v>
      </c>
      <c r="AA16" t="s">
        <v>59</v>
      </c>
      <c r="AB16" t="s">
        <v>48</v>
      </c>
      <c r="AC16" t="s">
        <v>49</v>
      </c>
      <c r="AD16">
        <v>22</v>
      </c>
      <c r="AE16" t="s">
        <v>142</v>
      </c>
      <c r="AF16" t="s">
        <v>63</v>
      </c>
      <c r="AG16">
        <v>5</v>
      </c>
      <c r="AH16">
        <v>5</v>
      </c>
      <c r="AI16">
        <v>0</v>
      </c>
      <c r="AJ16" t="s">
        <v>143</v>
      </c>
      <c r="AK16">
        <v>0</v>
      </c>
      <c r="AL16">
        <v>1</v>
      </c>
    </row>
    <row r="17" spans="1:38" x14ac:dyDescent="0.25">
      <c r="A17" t="s">
        <v>144</v>
      </c>
      <c r="B17">
        <v>10061</v>
      </c>
      <c r="C17">
        <v>0</v>
      </c>
      <c r="D17">
        <v>0</v>
      </c>
      <c r="E17">
        <v>1</v>
      </c>
      <c r="F17">
        <v>4</v>
      </c>
      <c r="G17">
        <v>5</v>
      </c>
      <c r="H17">
        <v>3</v>
      </c>
      <c r="I17">
        <v>0</v>
      </c>
      <c r="J17">
        <v>57834</v>
      </c>
      <c r="K17">
        <v>1</v>
      </c>
      <c r="L17">
        <v>19</v>
      </c>
      <c r="M17" t="s">
        <v>39</v>
      </c>
      <c r="N17" t="e" vm="1">
        <v>#VALUE!</v>
      </c>
      <c r="O17">
        <v>2050</v>
      </c>
      <c r="P17" t="s">
        <v>145</v>
      </c>
      <c r="Q17" t="s">
        <v>41</v>
      </c>
      <c r="R17">
        <f t="shared" ca="1" si="0"/>
        <v>40</v>
      </c>
      <c r="S17" t="s">
        <v>42</v>
      </c>
      <c r="T17" t="s">
        <v>43</v>
      </c>
      <c r="U17" t="s">
        <v>44</v>
      </c>
      <c r="V17" t="s">
        <v>45</v>
      </c>
      <c r="W17" t="s">
        <v>146</v>
      </c>
      <c r="X17">
        <f t="shared" ca="1" si="2"/>
        <v>7</v>
      </c>
      <c r="Y17" t="s">
        <v>147</v>
      </c>
      <c r="Z17">
        <f t="shared" ca="1" si="1"/>
        <v>181</v>
      </c>
      <c r="AA17" t="s">
        <v>59</v>
      </c>
      <c r="AB17" t="s">
        <v>48</v>
      </c>
      <c r="AC17" t="s">
        <v>136</v>
      </c>
      <c r="AD17">
        <v>18</v>
      </c>
      <c r="AE17" t="s">
        <v>83</v>
      </c>
      <c r="AF17" t="s">
        <v>63</v>
      </c>
      <c r="AG17">
        <v>5</v>
      </c>
      <c r="AH17">
        <v>4</v>
      </c>
      <c r="AI17">
        <v>0</v>
      </c>
      <c r="AJ17" t="s">
        <v>148</v>
      </c>
      <c r="AK17">
        <v>0</v>
      </c>
      <c r="AL17">
        <v>20</v>
      </c>
    </row>
    <row r="18" spans="1:38" x14ac:dyDescent="0.25">
      <c r="A18" t="s">
        <v>149</v>
      </c>
      <c r="B18">
        <v>10023</v>
      </c>
      <c r="C18">
        <v>1</v>
      </c>
      <c r="D18">
        <v>1</v>
      </c>
      <c r="E18">
        <v>0</v>
      </c>
      <c r="F18">
        <v>2</v>
      </c>
      <c r="G18">
        <v>5</v>
      </c>
      <c r="H18">
        <v>4</v>
      </c>
      <c r="I18">
        <v>0</v>
      </c>
      <c r="J18">
        <v>70131</v>
      </c>
      <c r="K18">
        <v>0</v>
      </c>
      <c r="L18">
        <v>20</v>
      </c>
      <c r="M18" t="s">
        <v>66</v>
      </c>
      <c r="N18" t="e" vm="1">
        <v>#VALUE!</v>
      </c>
      <c r="O18">
        <v>2145</v>
      </c>
      <c r="P18" t="s">
        <v>150</v>
      </c>
      <c r="Q18" t="s">
        <v>68</v>
      </c>
      <c r="R18">
        <f t="shared" ca="1" si="0"/>
        <v>51</v>
      </c>
      <c r="S18" t="s">
        <v>56</v>
      </c>
      <c r="T18" t="s">
        <v>43</v>
      </c>
      <c r="U18" t="s">
        <v>44</v>
      </c>
      <c r="V18" t="s">
        <v>45</v>
      </c>
      <c r="W18" t="s">
        <v>151</v>
      </c>
      <c r="X18">
        <f t="shared" ca="1" si="2"/>
        <v>2</v>
      </c>
      <c r="Z18" t="str">
        <f t="shared" ca="1" si="1"/>
        <v/>
      </c>
      <c r="AA18" t="s">
        <v>47</v>
      </c>
      <c r="AB18" t="s">
        <v>48</v>
      </c>
      <c r="AC18" t="s">
        <v>136</v>
      </c>
      <c r="AD18">
        <v>18</v>
      </c>
      <c r="AE18" t="s">
        <v>102</v>
      </c>
      <c r="AF18" t="s">
        <v>51</v>
      </c>
      <c r="AG18">
        <v>4.4000000000000004</v>
      </c>
      <c r="AH18">
        <v>3</v>
      </c>
      <c r="AI18">
        <v>0</v>
      </c>
      <c r="AJ18" t="s">
        <v>152</v>
      </c>
      <c r="AK18">
        <v>0</v>
      </c>
      <c r="AL18">
        <v>16</v>
      </c>
    </row>
    <row r="19" spans="1:38" x14ac:dyDescent="0.25">
      <c r="A19" t="s">
        <v>153</v>
      </c>
      <c r="B19">
        <v>10055</v>
      </c>
      <c r="C19">
        <v>0</v>
      </c>
      <c r="D19">
        <v>0</v>
      </c>
      <c r="E19">
        <v>0</v>
      </c>
      <c r="F19">
        <v>1</v>
      </c>
      <c r="G19">
        <v>5</v>
      </c>
      <c r="H19">
        <v>3</v>
      </c>
      <c r="I19">
        <v>0</v>
      </c>
      <c r="J19">
        <v>59026</v>
      </c>
      <c r="K19">
        <v>0</v>
      </c>
      <c r="L19">
        <v>19</v>
      </c>
      <c r="M19" t="s">
        <v>39</v>
      </c>
      <c r="N19" t="e" vm="1">
        <v>#VALUE!</v>
      </c>
      <c r="O19">
        <v>1915</v>
      </c>
      <c r="P19" t="s">
        <v>154</v>
      </c>
      <c r="Q19" t="s">
        <v>68</v>
      </c>
      <c r="R19">
        <f t="shared" ca="1" si="0"/>
        <v>45</v>
      </c>
      <c r="S19" t="s">
        <v>42</v>
      </c>
      <c r="T19" t="s">
        <v>155</v>
      </c>
      <c r="U19" t="s">
        <v>44</v>
      </c>
      <c r="V19" t="s">
        <v>45</v>
      </c>
      <c r="W19" t="s">
        <v>156</v>
      </c>
      <c r="X19">
        <f t="shared" ca="1" si="2"/>
        <v>7</v>
      </c>
      <c r="Z19" t="str">
        <f t="shared" ca="1" si="1"/>
        <v/>
      </c>
      <c r="AA19" t="s">
        <v>47</v>
      </c>
      <c r="AB19" t="s">
        <v>48</v>
      </c>
      <c r="AC19" t="s">
        <v>75</v>
      </c>
      <c r="AD19">
        <v>16</v>
      </c>
      <c r="AE19" t="s">
        <v>83</v>
      </c>
      <c r="AF19" t="s">
        <v>63</v>
      </c>
      <c r="AG19">
        <v>5</v>
      </c>
      <c r="AH19">
        <v>5</v>
      </c>
      <c r="AI19">
        <v>0</v>
      </c>
      <c r="AJ19" t="s">
        <v>152</v>
      </c>
      <c r="AK19">
        <v>0</v>
      </c>
      <c r="AL19">
        <v>12</v>
      </c>
    </row>
    <row r="20" spans="1:38" x14ac:dyDescent="0.25">
      <c r="A20" t="s">
        <v>157</v>
      </c>
      <c r="B20">
        <v>10245</v>
      </c>
      <c r="C20">
        <v>0</v>
      </c>
      <c r="D20">
        <v>0</v>
      </c>
      <c r="E20">
        <v>0</v>
      </c>
      <c r="F20">
        <v>4</v>
      </c>
      <c r="G20">
        <v>3</v>
      </c>
      <c r="H20">
        <v>3</v>
      </c>
      <c r="I20">
        <v>0</v>
      </c>
      <c r="J20">
        <v>110000</v>
      </c>
      <c r="K20">
        <v>1</v>
      </c>
      <c r="L20">
        <v>8</v>
      </c>
      <c r="M20" t="s">
        <v>158</v>
      </c>
      <c r="N20" t="e" vm="1">
        <v>#VALUE!</v>
      </c>
      <c r="O20">
        <v>2026</v>
      </c>
      <c r="P20" t="s">
        <v>159</v>
      </c>
      <c r="Q20" t="s">
        <v>68</v>
      </c>
      <c r="R20">
        <f t="shared" ca="1" si="0"/>
        <v>39</v>
      </c>
      <c r="S20" t="s">
        <v>42</v>
      </c>
      <c r="T20" t="s">
        <v>43</v>
      </c>
      <c r="U20" t="s">
        <v>119</v>
      </c>
      <c r="V20" t="s">
        <v>45</v>
      </c>
      <c r="W20" t="s">
        <v>160</v>
      </c>
      <c r="X20">
        <f t="shared" ca="1" si="2"/>
        <v>4</v>
      </c>
      <c r="Y20" t="s">
        <v>161</v>
      </c>
      <c r="Z20">
        <f t="shared" ca="1" si="1"/>
        <v>63</v>
      </c>
      <c r="AA20" t="s">
        <v>59</v>
      </c>
      <c r="AB20" t="s">
        <v>60</v>
      </c>
      <c r="AC20" t="s">
        <v>61</v>
      </c>
      <c r="AD20">
        <v>4</v>
      </c>
      <c r="AE20" t="s">
        <v>83</v>
      </c>
      <c r="AF20" t="s">
        <v>63</v>
      </c>
      <c r="AG20">
        <v>4.5</v>
      </c>
      <c r="AH20">
        <v>4</v>
      </c>
      <c r="AI20">
        <v>5</v>
      </c>
      <c r="AJ20" t="s">
        <v>162</v>
      </c>
      <c r="AK20">
        <v>0</v>
      </c>
      <c r="AL20">
        <v>8</v>
      </c>
    </row>
    <row r="21" spans="1:38" x14ac:dyDescent="0.25">
      <c r="A21" t="s">
        <v>163</v>
      </c>
      <c r="B21">
        <v>10277</v>
      </c>
      <c r="C21">
        <v>0</v>
      </c>
      <c r="D21">
        <v>0</v>
      </c>
      <c r="E21">
        <v>1</v>
      </c>
      <c r="F21">
        <v>3</v>
      </c>
      <c r="G21">
        <v>5</v>
      </c>
      <c r="H21">
        <v>3</v>
      </c>
      <c r="I21">
        <v>0</v>
      </c>
      <c r="J21">
        <v>53250</v>
      </c>
      <c r="K21">
        <v>0</v>
      </c>
      <c r="L21">
        <v>19</v>
      </c>
      <c r="M21" t="s">
        <v>39</v>
      </c>
      <c r="N21" t="e" vm="1">
        <v>#VALUE!</v>
      </c>
      <c r="O21">
        <v>2452</v>
      </c>
      <c r="P21" t="s">
        <v>164</v>
      </c>
      <c r="Q21" t="s">
        <v>41</v>
      </c>
      <c r="R21">
        <f t="shared" ca="1" si="0"/>
        <v>38</v>
      </c>
      <c r="S21" t="s">
        <v>42</v>
      </c>
      <c r="T21" t="s">
        <v>43</v>
      </c>
      <c r="U21" t="s">
        <v>44</v>
      </c>
      <c r="V21" t="s">
        <v>165</v>
      </c>
      <c r="W21" t="s">
        <v>166</v>
      </c>
      <c r="X21">
        <f t="shared" ca="1" si="2"/>
        <v>5</v>
      </c>
      <c r="Z21" t="str">
        <f t="shared" ca="1" si="1"/>
        <v/>
      </c>
      <c r="AA21" t="s">
        <v>47</v>
      </c>
      <c r="AB21" t="s">
        <v>48</v>
      </c>
      <c r="AC21" t="s">
        <v>82</v>
      </c>
      <c r="AE21" t="s">
        <v>50</v>
      </c>
      <c r="AF21" t="s">
        <v>63</v>
      </c>
      <c r="AG21">
        <v>4.2</v>
      </c>
      <c r="AH21">
        <v>4</v>
      </c>
      <c r="AI21">
        <v>0</v>
      </c>
      <c r="AJ21" t="s">
        <v>167</v>
      </c>
      <c r="AK21">
        <v>0</v>
      </c>
      <c r="AL21">
        <v>13</v>
      </c>
    </row>
    <row r="22" spans="1:38" x14ac:dyDescent="0.25">
      <c r="A22" t="s">
        <v>168</v>
      </c>
      <c r="B22">
        <v>10046</v>
      </c>
      <c r="C22">
        <v>0</v>
      </c>
      <c r="D22">
        <v>0</v>
      </c>
      <c r="E22">
        <v>1</v>
      </c>
      <c r="F22">
        <v>1</v>
      </c>
      <c r="G22">
        <v>5</v>
      </c>
      <c r="H22">
        <v>3</v>
      </c>
      <c r="I22">
        <v>0</v>
      </c>
      <c r="J22">
        <v>51044</v>
      </c>
      <c r="K22">
        <v>0</v>
      </c>
      <c r="L22">
        <v>19</v>
      </c>
      <c r="M22" t="s">
        <v>39</v>
      </c>
      <c r="N22" t="e" vm="1">
        <v>#VALUE!</v>
      </c>
      <c r="O22">
        <v>2072</v>
      </c>
      <c r="P22" t="s">
        <v>169</v>
      </c>
      <c r="Q22" t="s">
        <v>41</v>
      </c>
      <c r="R22">
        <f t="shared" ca="1" si="0"/>
        <v>51</v>
      </c>
      <c r="S22" t="s">
        <v>42</v>
      </c>
      <c r="T22" t="s">
        <v>43</v>
      </c>
      <c r="U22" t="s">
        <v>119</v>
      </c>
      <c r="V22" t="s">
        <v>45</v>
      </c>
      <c r="W22" t="s">
        <v>126</v>
      </c>
      <c r="X22">
        <f t="shared" ca="1" si="2"/>
        <v>6</v>
      </c>
      <c r="Z22" t="str">
        <f t="shared" ca="1" si="1"/>
        <v/>
      </c>
      <c r="AA22" t="s">
        <v>47</v>
      </c>
      <c r="AB22" t="s">
        <v>48</v>
      </c>
      <c r="AC22" t="s">
        <v>88</v>
      </c>
      <c r="AD22">
        <v>11</v>
      </c>
      <c r="AE22" t="s">
        <v>83</v>
      </c>
      <c r="AF22" t="s">
        <v>63</v>
      </c>
      <c r="AG22">
        <v>5</v>
      </c>
      <c r="AH22">
        <v>3</v>
      </c>
      <c r="AI22">
        <v>0</v>
      </c>
      <c r="AJ22" t="s">
        <v>152</v>
      </c>
      <c r="AK22">
        <v>0</v>
      </c>
      <c r="AL22">
        <v>13</v>
      </c>
    </row>
    <row r="23" spans="1:38" x14ac:dyDescent="0.25">
      <c r="A23" t="s">
        <v>170</v>
      </c>
      <c r="B23">
        <v>10226</v>
      </c>
      <c r="C23">
        <v>0</v>
      </c>
      <c r="D23">
        <v>2</v>
      </c>
      <c r="E23">
        <v>0</v>
      </c>
      <c r="F23">
        <v>1</v>
      </c>
      <c r="G23">
        <v>5</v>
      </c>
      <c r="H23">
        <v>3</v>
      </c>
      <c r="I23">
        <v>0</v>
      </c>
      <c r="J23">
        <v>64919</v>
      </c>
      <c r="K23">
        <v>0</v>
      </c>
      <c r="L23">
        <v>19</v>
      </c>
      <c r="M23" t="s">
        <v>39</v>
      </c>
      <c r="N23" t="e" vm="1">
        <v>#VALUE!</v>
      </c>
      <c r="O23">
        <v>2027</v>
      </c>
      <c r="P23" t="s">
        <v>171</v>
      </c>
      <c r="Q23" t="s">
        <v>68</v>
      </c>
      <c r="R23">
        <f t="shared" ca="1" si="0"/>
        <v>58</v>
      </c>
      <c r="S23" t="s">
        <v>79</v>
      </c>
      <c r="T23" t="s">
        <v>43</v>
      </c>
      <c r="U23" t="s">
        <v>44</v>
      </c>
      <c r="V23" t="s">
        <v>165</v>
      </c>
      <c r="W23" t="s">
        <v>172</v>
      </c>
      <c r="X23">
        <f t="shared" ca="1" si="2"/>
        <v>5</v>
      </c>
      <c r="Z23" t="str">
        <f t="shared" ca="1" si="1"/>
        <v/>
      </c>
      <c r="AA23" t="s">
        <v>47</v>
      </c>
      <c r="AB23" t="s">
        <v>48</v>
      </c>
      <c r="AC23" t="s">
        <v>101</v>
      </c>
      <c r="AD23">
        <v>19</v>
      </c>
      <c r="AE23" t="s">
        <v>62</v>
      </c>
      <c r="AF23" t="s">
        <v>63</v>
      </c>
      <c r="AG23">
        <v>4.2</v>
      </c>
      <c r="AH23">
        <v>3</v>
      </c>
      <c r="AI23">
        <v>0</v>
      </c>
      <c r="AJ23" t="s">
        <v>173</v>
      </c>
      <c r="AK23">
        <v>0</v>
      </c>
      <c r="AL23">
        <v>2</v>
      </c>
    </row>
    <row r="24" spans="1:38" x14ac:dyDescent="0.25">
      <c r="A24" t="s">
        <v>174</v>
      </c>
      <c r="B24">
        <v>10003</v>
      </c>
      <c r="C24">
        <v>1</v>
      </c>
      <c r="D24">
        <v>1</v>
      </c>
      <c r="E24">
        <v>0</v>
      </c>
      <c r="F24">
        <v>1</v>
      </c>
      <c r="G24">
        <v>5</v>
      </c>
      <c r="H24">
        <v>4</v>
      </c>
      <c r="I24">
        <v>0</v>
      </c>
      <c r="J24">
        <v>62910</v>
      </c>
      <c r="K24">
        <v>0</v>
      </c>
      <c r="L24">
        <v>19</v>
      </c>
      <c r="M24" t="s">
        <v>39</v>
      </c>
      <c r="N24" t="e" vm="1">
        <v>#VALUE!</v>
      </c>
      <c r="O24">
        <v>2031</v>
      </c>
      <c r="P24" t="s">
        <v>175</v>
      </c>
      <c r="Q24" t="s">
        <v>68</v>
      </c>
      <c r="R24">
        <f t="shared" ca="1" si="0"/>
        <v>29</v>
      </c>
      <c r="S24" t="s">
        <v>56</v>
      </c>
      <c r="T24" t="s">
        <v>43</v>
      </c>
      <c r="U24" t="s">
        <v>44</v>
      </c>
      <c r="V24" t="s">
        <v>45</v>
      </c>
      <c r="W24" t="s">
        <v>160</v>
      </c>
      <c r="X24">
        <f t="shared" ca="1" si="2"/>
        <v>4</v>
      </c>
      <c r="Z24" t="str">
        <f t="shared" ca="1" si="1"/>
        <v/>
      </c>
      <c r="AA24" t="s">
        <v>47</v>
      </c>
      <c r="AB24" t="s">
        <v>48</v>
      </c>
      <c r="AC24" t="s">
        <v>108</v>
      </c>
      <c r="AD24">
        <v>12</v>
      </c>
      <c r="AE24" t="s">
        <v>62</v>
      </c>
      <c r="AF24" t="s">
        <v>51</v>
      </c>
      <c r="AG24">
        <v>5</v>
      </c>
      <c r="AH24">
        <v>3</v>
      </c>
      <c r="AI24">
        <v>0</v>
      </c>
      <c r="AJ24" t="s">
        <v>176</v>
      </c>
      <c r="AK24">
        <v>0</v>
      </c>
      <c r="AL24">
        <v>19</v>
      </c>
    </row>
    <row r="25" spans="1:38" x14ac:dyDescent="0.25">
      <c r="A25" t="s">
        <v>177</v>
      </c>
      <c r="B25">
        <v>10294</v>
      </c>
      <c r="C25">
        <v>0</v>
      </c>
      <c r="D25">
        <v>0</v>
      </c>
      <c r="E25">
        <v>0</v>
      </c>
      <c r="F25">
        <v>1</v>
      </c>
      <c r="G25">
        <v>5</v>
      </c>
      <c r="H25">
        <v>2</v>
      </c>
      <c r="I25">
        <v>0</v>
      </c>
      <c r="J25">
        <v>66441</v>
      </c>
      <c r="K25">
        <v>0</v>
      </c>
      <c r="L25">
        <v>20</v>
      </c>
      <c r="M25" t="s">
        <v>66</v>
      </c>
      <c r="N25" t="e" vm="1">
        <v>#VALUE!</v>
      </c>
      <c r="O25">
        <v>2171</v>
      </c>
      <c r="P25" t="s">
        <v>178</v>
      </c>
      <c r="Q25" t="s">
        <v>68</v>
      </c>
      <c r="R25">
        <f t="shared" ca="1" si="0"/>
        <v>31</v>
      </c>
      <c r="S25" t="s">
        <v>42</v>
      </c>
      <c r="T25" t="s">
        <v>43</v>
      </c>
      <c r="U25" t="s">
        <v>44</v>
      </c>
      <c r="V25" t="s">
        <v>45</v>
      </c>
      <c r="W25" t="s">
        <v>156</v>
      </c>
      <c r="X25">
        <f t="shared" ca="1" si="2"/>
        <v>7</v>
      </c>
      <c r="Z25" t="str">
        <f t="shared" ca="1" si="1"/>
        <v/>
      </c>
      <c r="AA25" t="s">
        <v>47</v>
      </c>
      <c r="AB25" t="s">
        <v>48</v>
      </c>
      <c r="AC25" t="s">
        <v>49</v>
      </c>
      <c r="AD25">
        <v>22</v>
      </c>
      <c r="AE25" t="s">
        <v>179</v>
      </c>
      <c r="AF25" t="s">
        <v>180</v>
      </c>
      <c r="AG25">
        <v>2</v>
      </c>
      <c r="AH25">
        <v>3</v>
      </c>
      <c r="AI25">
        <v>0</v>
      </c>
      <c r="AJ25" t="s">
        <v>176</v>
      </c>
      <c r="AK25">
        <v>2</v>
      </c>
      <c r="AL25">
        <v>3</v>
      </c>
    </row>
    <row r="26" spans="1:38" x14ac:dyDescent="0.25">
      <c r="A26" t="s">
        <v>181</v>
      </c>
      <c r="B26">
        <v>10267</v>
      </c>
      <c r="C26">
        <v>0</v>
      </c>
      <c r="D26">
        <v>0</v>
      </c>
      <c r="E26">
        <v>0</v>
      </c>
      <c r="F26">
        <v>5</v>
      </c>
      <c r="G26">
        <v>5</v>
      </c>
      <c r="H26">
        <v>3</v>
      </c>
      <c r="I26">
        <v>0</v>
      </c>
      <c r="J26">
        <v>57815</v>
      </c>
      <c r="K26">
        <v>1</v>
      </c>
      <c r="L26">
        <v>20</v>
      </c>
      <c r="M26" t="s">
        <v>66</v>
      </c>
      <c r="N26" t="e" vm="1">
        <v>#VALUE!</v>
      </c>
      <c r="O26">
        <v>2210</v>
      </c>
      <c r="P26" t="s">
        <v>182</v>
      </c>
      <c r="Q26" t="s">
        <v>68</v>
      </c>
      <c r="R26">
        <f t="shared" ca="1" si="0"/>
        <v>51</v>
      </c>
      <c r="S26" t="s">
        <v>42</v>
      </c>
      <c r="T26" t="s">
        <v>43</v>
      </c>
      <c r="U26" t="s">
        <v>44</v>
      </c>
      <c r="V26" t="s">
        <v>45</v>
      </c>
      <c r="W26" t="s">
        <v>120</v>
      </c>
      <c r="X26">
        <f t="shared" ca="1" si="2"/>
        <v>8</v>
      </c>
      <c r="Y26" t="s">
        <v>183</v>
      </c>
      <c r="Z26">
        <f t="shared" ca="1" si="1"/>
        <v>705</v>
      </c>
      <c r="AA26" t="s">
        <v>59</v>
      </c>
      <c r="AB26" t="s">
        <v>48</v>
      </c>
      <c r="AC26" t="s">
        <v>75</v>
      </c>
      <c r="AD26">
        <v>16</v>
      </c>
      <c r="AE26" t="s">
        <v>83</v>
      </c>
      <c r="AF26" t="s">
        <v>63</v>
      </c>
      <c r="AG26">
        <v>4.8</v>
      </c>
      <c r="AH26">
        <v>5</v>
      </c>
      <c r="AI26">
        <v>0</v>
      </c>
      <c r="AJ26" t="s">
        <v>184</v>
      </c>
      <c r="AK26">
        <v>0</v>
      </c>
      <c r="AL26">
        <v>5</v>
      </c>
    </row>
    <row r="27" spans="1:38" x14ac:dyDescent="0.25">
      <c r="A27" t="s">
        <v>185</v>
      </c>
      <c r="B27">
        <v>10199</v>
      </c>
      <c r="C27">
        <v>0</v>
      </c>
      <c r="D27">
        <v>0</v>
      </c>
      <c r="E27">
        <v>1</v>
      </c>
      <c r="F27">
        <v>4</v>
      </c>
      <c r="G27">
        <v>3</v>
      </c>
      <c r="H27">
        <v>3</v>
      </c>
      <c r="I27">
        <v>0</v>
      </c>
      <c r="J27">
        <v>103613</v>
      </c>
      <c r="K27">
        <v>1</v>
      </c>
      <c r="L27">
        <v>30</v>
      </c>
      <c r="M27" t="s">
        <v>186</v>
      </c>
      <c r="N27" t="e" vm="3">
        <v>#VALUE!</v>
      </c>
      <c r="O27">
        <v>6033</v>
      </c>
      <c r="P27" t="s">
        <v>187</v>
      </c>
      <c r="Q27" t="s">
        <v>41</v>
      </c>
      <c r="R27">
        <f t="shared" ca="1" si="0"/>
        <v>52</v>
      </c>
      <c r="S27" t="s">
        <v>42</v>
      </c>
      <c r="T27" t="s">
        <v>43</v>
      </c>
      <c r="U27" t="s">
        <v>44</v>
      </c>
      <c r="V27" t="s">
        <v>106</v>
      </c>
      <c r="W27" t="s">
        <v>188</v>
      </c>
      <c r="X27">
        <f t="shared" ca="1" si="2"/>
        <v>4</v>
      </c>
      <c r="Y27" t="s">
        <v>189</v>
      </c>
      <c r="Z27">
        <f t="shared" ca="1" si="1"/>
        <v>15</v>
      </c>
      <c r="AA27" t="s">
        <v>59</v>
      </c>
      <c r="AB27" t="s">
        <v>60</v>
      </c>
      <c r="AC27" t="s">
        <v>61</v>
      </c>
      <c r="AD27">
        <v>4</v>
      </c>
      <c r="AE27" t="s">
        <v>50</v>
      </c>
      <c r="AF27" t="s">
        <v>63</v>
      </c>
      <c r="AG27">
        <v>3.5</v>
      </c>
      <c r="AH27">
        <v>5</v>
      </c>
      <c r="AI27">
        <v>7</v>
      </c>
      <c r="AJ27" t="s">
        <v>190</v>
      </c>
      <c r="AK27">
        <v>0</v>
      </c>
      <c r="AL27">
        <v>2</v>
      </c>
    </row>
    <row r="28" spans="1:38" x14ac:dyDescent="0.25">
      <c r="A28" t="s">
        <v>191</v>
      </c>
      <c r="B28">
        <v>10081</v>
      </c>
      <c r="C28">
        <v>1</v>
      </c>
      <c r="D28">
        <v>1</v>
      </c>
      <c r="E28">
        <v>0</v>
      </c>
      <c r="F28">
        <v>1</v>
      </c>
      <c r="G28">
        <v>1</v>
      </c>
      <c r="H28">
        <v>3</v>
      </c>
      <c r="I28">
        <v>1</v>
      </c>
      <c r="J28">
        <v>106367</v>
      </c>
      <c r="K28">
        <v>0</v>
      </c>
      <c r="L28">
        <v>26</v>
      </c>
      <c r="M28" t="s">
        <v>192</v>
      </c>
      <c r="N28" t="e" vm="1">
        <v>#VALUE!</v>
      </c>
      <c r="O28">
        <v>2468</v>
      </c>
      <c r="P28" t="s">
        <v>193</v>
      </c>
      <c r="Q28" t="s">
        <v>68</v>
      </c>
      <c r="R28">
        <f t="shared" ca="1" si="0"/>
        <v>34</v>
      </c>
      <c r="S28" t="s">
        <v>56</v>
      </c>
      <c r="T28" t="s">
        <v>43</v>
      </c>
      <c r="U28" t="s">
        <v>44</v>
      </c>
      <c r="V28" t="s">
        <v>106</v>
      </c>
      <c r="W28" t="s">
        <v>194</v>
      </c>
      <c r="X28">
        <f t="shared" ca="1" si="2"/>
        <v>4</v>
      </c>
      <c r="Z28" t="str">
        <f t="shared" ca="1" si="1"/>
        <v/>
      </c>
      <c r="AA28" t="s">
        <v>47</v>
      </c>
      <c r="AB28" t="s">
        <v>195</v>
      </c>
      <c r="AC28" t="s">
        <v>196</v>
      </c>
      <c r="AD28">
        <v>3</v>
      </c>
      <c r="AE28" t="s">
        <v>109</v>
      </c>
      <c r="AF28" t="s">
        <v>63</v>
      </c>
      <c r="AG28">
        <v>5</v>
      </c>
      <c r="AH28">
        <v>4</v>
      </c>
      <c r="AI28">
        <v>3</v>
      </c>
      <c r="AJ28" t="s">
        <v>116</v>
      </c>
      <c r="AK28">
        <v>0</v>
      </c>
      <c r="AL28">
        <v>4</v>
      </c>
    </row>
    <row r="29" spans="1:38" x14ac:dyDescent="0.25">
      <c r="A29" t="s">
        <v>197</v>
      </c>
      <c r="B29">
        <v>10175</v>
      </c>
      <c r="C29">
        <v>0</v>
      </c>
      <c r="D29">
        <v>0</v>
      </c>
      <c r="E29">
        <v>1</v>
      </c>
      <c r="F29">
        <v>5</v>
      </c>
      <c r="G29">
        <v>5</v>
      </c>
      <c r="H29">
        <v>3</v>
      </c>
      <c r="I29">
        <v>0</v>
      </c>
      <c r="J29">
        <v>74312</v>
      </c>
      <c r="K29">
        <v>1</v>
      </c>
      <c r="L29">
        <v>18</v>
      </c>
      <c r="M29" t="s">
        <v>198</v>
      </c>
      <c r="N29" t="e" vm="1">
        <v>#VALUE!</v>
      </c>
      <c r="O29">
        <v>1901</v>
      </c>
      <c r="P29" t="s">
        <v>199</v>
      </c>
      <c r="Q29" t="s">
        <v>41</v>
      </c>
      <c r="R29">
        <f t="shared" ca="1" si="0"/>
        <v>55</v>
      </c>
      <c r="S29" t="s">
        <v>42</v>
      </c>
      <c r="T29" t="s">
        <v>43</v>
      </c>
      <c r="U29" t="s">
        <v>44</v>
      </c>
      <c r="V29" t="s">
        <v>165</v>
      </c>
      <c r="W29" t="s">
        <v>100</v>
      </c>
      <c r="X29">
        <f t="shared" ca="1" si="2"/>
        <v>5</v>
      </c>
      <c r="Y29" t="s">
        <v>200</v>
      </c>
      <c r="Z29">
        <f t="shared" ca="1" si="1"/>
        <v>184</v>
      </c>
      <c r="AA29" t="s">
        <v>59</v>
      </c>
      <c r="AB29" t="s">
        <v>48</v>
      </c>
      <c r="AC29" t="s">
        <v>201</v>
      </c>
      <c r="AD29">
        <v>2</v>
      </c>
      <c r="AE29" t="s">
        <v>62</v>
      </c>
      <c r="AF29" t="s">
        <v>63</v>
      </c>
      <c r="AG29">
        <v>3.39</v>
      </c>
      <c r="AH29">
        <v>3</v>
      </c>
      <c r="AI29">
        <v>0</v>
      </c>
      <c r="AJ29" t="s">
        <v>202</v>
      </c>
      <c r="AK29">
        <v>0</v>
      </c>
      <c r="AL29">
        <v>14</v>
      </c>
    </row>
    <row r="30" spans="1:38" x14ac:dyDescent="0.25">
      <c r="A30" t="s">
        <v>203</v>
      </c>
      <c r="B30">
        <v>10177</v>
      </c>
      <c r="C30">
        <v>1</v>
      </c>
      <c r="D30">
        <v>1</v>
      </c>
      <c r="E30">
        <v>0</v>
      </c>
      <c r="F30">
        <v>5</v>
      </c>
      <c r="G30">
        <v>5</v>
      </c>
      <c r="H30">
        <v>3</v>
      </c>
      <c r="I30">
        <v>0</v>
      </c>
      <c r="J30">
        <v>53492</v>
      </c>
      <c r="K30">
        <v>1</v>
      </c>
      <c r="L30">
        <v>19</v>
      </c>
      <c r="M30" t="s">
        <v>39</v>
      </c>
      <c r="N30" t="e" vm="1">
        <v>#VALUE!</v>
      </c>
      <c r="O30">
        <v>1701</v>
      </c>
      <c r="P30" t="s">
        <v>204</v>
      </c>
      <c r="Q30" t="s">
        <v>68</v>
      </c>
      <c r="R30">
        <f t="shared" ca="1" si="0"/>
        <v>32</v>
      </c>
      <c r="S30" t="s">
        <v>56</v>
      </c>
      <c r="T30" t="s">
        <v>43</v>
      </c>
      <c r="U30" t="s">
        <v>44</v>
      </c>
      <c r="V30" t="s">
        <v>45</v>
      </c>
      <c r="W30" t="s">
        <v>126</v>
      </c>
      <c r="X30">
        <f t="shared" ca="1" si="2"/>
        <v>6</v>
      </c>
      <c r="Y30" t="s">
        <v>205</v>
      </c>
      <c r="Z30">
        <f t="shared" ca="1" si="1"/>
        <v>673</v>
      </c>
      <c r="AA30" t="s">
        <v>59</v>
      </c>
      <c r="AB30" t="s">
        <v>48</v>
      </c>
      <c r="AC30" t="s">
        <v>122</v>
      </c>
      <c r="AD30">
        <v>14</v>
      </c>
      <c r="AE30" t="s">
        <v>83</v>
      </c>
      <c r="AF30" t="s">
        <v>63</v>
      </c>
      <c r="AG30">
        <v>3.35</v>
      </c>
      <c r="AH30">
        <v>4</v>
      </c>
      <c r="AI30">
        <v>0</v>
      </c>
      <c r="AJ30" t="s">
        <v>206</v>
      </c>
      <c r="AK30">
        <v>0</v>
      </c>
      <c r="AL30">
        <v>6</v>
      </c>
    </row>
    <row r="31" spans="1:38" x14ac:dyDescent="0.25">
      <c r="A31" t="s">
        <v>207</v>
      </c>
      <c r="B31">
        <v>10238</v>
      </c>
      <c r="C31">
        <v>1</v>
      </c>
      <c r="D31">
        <v>1</v>
      </c>
      <c r="E31">
        <v>0</v>
      </c>
      <c r="F31">
        <v>1</v>
      </c>
      <c r="G31">
        <v>1</v>
      </c>
      <c r="H31">
        <v>3</v>
      </c>
      <c r="I31">
        <v>1</v>
      </c>
      <c r="J31">
        <v>63000</v>
      </c>
      <c r="K31">
        <v>0</v>
      </c>
      <c r="L31">
        <v>1</v>
      </c>
      <c r="M31" t="s">
        <v>208</v>
      </c>
      <c r="N31" t="e" vm="1">
        <v>#VALUE!</v>
      </c>
      <c r="O31">
        <v>1450</v>
      </c>
      <c r="P31" t="s">
        <v>209</v>
      </c>
      <c r="Q31" t="s">
        <v>68</v>
      </c>
      <c r="R31">
        <f t="shared" ca="1" si="0"/>
        <v>31</v>
      </c>
      <c r="S31" t="s">
        <v>56</v>
      </c>
      <c r="T31" t="s">
        <v>43</v>
      </c>
      <c r="U31" t="s">
        <v>44</v>
      </c>
      <c r="V31" t="s">
        <v>106</v>
      </c>
      <c r="W31" t="s">
        <v>210</v>
      </c>
      <c r="X31">
        <f t="shared" ca="1" si="2"/>
        <v>10</v>
      </c>
      <c r="Z31" t="str">
        <f t="shared" ca="1" si="1"/>
        <v/>
      </c>
      <c r="AA31" t="s">
        <v>47</v>
      </c>
      <c r="AB31" t="s">
        <v>195</v>
      </c>
      <c r="AC31" t="s">
        <v>196</v>
      </c>
      <c r="AD31">
        <v>1</v>
      </c>
      <c r="AE31" t="s">
        <v>109</v>
      </c>
      <c r="AF31" t="s">
        <v>63</v>
      </c>
      <c r="AG31">
        <v>4.5</v>
      </c>
      <c r="AH31">
        <v>2</v>
      </c>
      <c r="AI31">
        <v>6</v>
      </c>
      <c r="AJ31" t="s">
        <v>211</v>
      </c>
      <c r="AK31">
        <v>0</v>
      </c>
      <c r="AL31">
        <v>14</v>
      </c>
    </row>
    <row r="32" spans="1:38" x14ac:dyDescent="0.25">
      <c r="A32" t="s">
        <v>212</v>
      </c>
      <c r="B32">
        <v>10184</v>
      </c>
      <c r="C32">
        <v>0</v>
      </c>
      <c r="D32">
        <v>0</v>
      </c>
      <c r="E32">
        <v>1</v>
      </c>
      <c r="F32">
        <v>1</v>
      </c>
      <c r="G32">
        <v>5</v>
      </c>
      <c r="H32">
        <v>3</v>
      </c>
      <c r="I32">
        <v>0</v>
      </c>
      <c r="J32">
        <v>65288</v>
      </c>
      <c r="K32">
        <v>0</v>
      </c>
      <c r="L32">
        <v>20</v>
      </c>
      <c r="M32" t="s">
        <v>66</v>
      </c>
      <c r="N32" t="e" vm="1">
        <v>#VALUE!</v>
      </c>
      <c r="O32">
        <v>1013</v>
      </c>
      <c r="P32" t="s">
        <v>213</v>
      </c>
      <c r="Q32" t="s">
        <v>41</v>
      </c>
      <c r="R32">
        <f t="shared" ca="1" si="0"/>
        <v>37</v>
      </c>
      <c r="S32" t="s">
        <v>42</v>
      </c>
      <c r="T32" t="s">
        <v>43</v>
      </c>
      <c r="U32" t="s">
        <v>44</v>
      </c>
      <c r="V32" t="s">
        <v>45</v>
      </c>
      <c r="W32" t="s">
        <v>214</v>
      </c>
      <c r="X32">
        <f t="shared" ca="1" si="2"/>
        <v>4</v>
      </c>
      <c r="Z32" t="str">
        <f t="shared" ca="1" si="1"/>
        <v/>
      </c>
      <c r="AA32" t="s">
        <v>47</v>
      </c>
      <c r="AB32" t="s">
        <v>48</v>
      </c>
      <c r="AC32" t="s">
        <v>82</v>
      </c>
      <c r="AE32" t="s">
        <v>83</v>
      </c>
      <c r="AF32" t="s">
        <v>63</v>
      </c>
      <c r="AG32">
        <v>3.19</v>
      </c>
      <c r="AH32">
        <v>3</v>
      </c>
      <c r="AI32">
        <v>0</v>
      </c>
      <c r="AJ32" t="s">
        <v>215</v>
      </c>
      <c r="AK32">
        <v>0</v>
      </c>
      <c r="AL32">
        <v>9</v>
      </c>
    </row>
    <row r="33" spans="1:38" x14ac:dyDescent="0.25">
      <c r="A33" t="s">
        <v>216</v>
      </c>
      <c r="B33">
        <v>10203</v>
      </c>
      <c r="C33">
        <v>0</v>
      </c>
      <c r="D33">
        <v>3</v>
      </c>
      <c r="E33">
        <v>0</v>
      </c>
      <c r="F33">
        <v>3</v>
      </c>
      <c r="G33">
        <v>5</v>
      </c>
      <c r="H33">
        <v>3</v>
      </c>
      <c r="I33">
        <v>1</v>
      </c>
      <c r="J33">
        <v>64375</v>
      </c>
      <c r="K33">
        <v>0</v>
      </c>
      <c r="L33">
        <v>19</v>
      </c>
      <c r="M33" t="s">
        <v>39</v>
      </c>
      <c r="N33" t="e" vm="1">
        <v>#VALUE!</v>
      </c>
      <c r="O33">
        <v>2043</v>
      </c>
      <c r="P33" t="s">
        <v>217</v>
      </c>
      <c r="Q33" t="s">
        <v>68</v>
      </c>
      <c r="R33">
        <f t="shared" ca="1" si="0"/>
        <v>51</v>
      </c>
      <c r="S33" t="s">
        <v>218</v>
      </c>
      <c r="T33" t="s">
        <v>43</v>
      </c>
      <c r="U33" t="s">
        <v>44</v>
      </c>
      <c r="V33" t="s">
        <v>106</v>
      </c>
      <c r="W33" t="s">
        <v>219</v>
      </c>
      <c r="X33">
        <f t="shared" ca="1" si="2"/>
        <v>5</v>
      </c>
      <c r="Z33" t="str">
        <f t="shared" ca="1" si="1"/>
        <v/>
      </c>
      <c r="AA33" t="s">
        <v>47</v>
      </c>
      <c r="AB33" t="s">
        <v>48</v>
      </c>
      <c r="AC33" t="s">
        <v>70</v>
      </c>
      <c r="AD33">
        <v>20</v>
      </c>
      <c r="AE33" t="s">
        <v>109</v>
      </c>
      <c r="AF33" t="s">
        <v>63</v>
      </c>
      <c r="AG33">
        <v>3.5</v>
      </c>
      <c r="AH33">
        <v>5</v>
      </c>
      <c r="AI33">
        <v>0</v>
      </c>
      <c r="AJ33" t="s">
        <v>220</v>
      </c>
      <c r="AK33">
        <v>0</v>
      </c>
      <c r="AL33">
        <v>17</v>
      </c>
    </row>
    <row r="34" spans="1:38" x14ac:dyDescent="0.25">
      <c r="A34" t="s">
        <v>221</v>
      </c>
      <c r="B34">
        <v>10188</v>
      </c>
      <c r="C34">
        <v>1</v>
      </c>
      <c r="D34">
        <v>1</v>
      </c>
      <c r="E34">
        <v>0</v>
      </c>
      <c r="F34">
        <v>5</v>
      </c>
      <c r="G34">
        <v>6</v>
      </c>
      <c r="H34">
        <v>3</v>
      </c>
      <c r="I34">
        <v>0</v>
      </c>
      <c r="J34">
        <v>74326</v>
      </c>
      <c r="K34">
        <v>1</v>
      </c>
      <c r="L34">
        <v>3</v>
      </c>
      <c r="M34" t="s">
        <v>222</v>
      </c>
      <c r="N34" t="e" vm="4">
        <v>#VALUE!</v>
      </c>
      <c r="O34">
        <v>21851</v>
      </c>
      <c r="P34" t="s">
        <v>223</v>
      </c>
      <c r="Q34" t="s">
        <v>68</v>
      </c>
      <c r="R34">
        <f t="shared" ca="1" si="0"/>
        <v>59</v>
      </c>
      <c r="S34" t="s">
        <v>56</v>
      </c>
      <c r="T34" t="s">
        <v>155</v>
      </c>
      <c r="U34" t="s">
        <v>44</v>
      </c>
      <c r="V34" t="s">
        <v>106</v>
      </c>
      <c r="W34" t="s">
        <v>224</v>
      </c>
      <c r="X34">
        <f t="shared" ca="1" si="2"/>
        <v>7</v>
      </c>
      <c r="Y34" t="s">
        <v>225</v>
      </c>
      <c r="Z34">
        <f t="shared" ca="1" si="1"/>
        <v>319</v>
      </c>
      <c r="AA34" t="s">
        <v>59</v>
      </c>
      <c r="AB34" t="s">
        <v>226</v>
      </c>
      <c r="AC34" t="s">
        <v>227</v>
      </c>
      <c r="AD34">
        <v>17</v>
      </c>
      <c r="AE34" t="s">
        <v>83</v>
      </c>
      <c r="AF34" t="s">
        <v>63</v>
      </c>
      <c r="AG34">
        <v>3.14</v>
      </c>
      <c r="AH34">
        <v>5</v>
      </c>
      <c r="AI34">
        <v>0</v>
      </c>
      <c r="AJ34" t="s">
        <v>228</v>
      </c>
      <c r="AK34">
        <v>1</v>
      </c>
      <c r="AL34">
        <v>19</v>
      </c>
    </row>
    <row r="35" spans="1:38" x14ac:dyDescent="0.25">
      <c r="A35" t="s">
        <v>229</v>
      </c>
      <c r="B35">
        <v>10107</v>
      </c>
      <c r="C35">
        <v>0</v>
      </c>
      <c r="D35">
        <v>0</v>
      </c>
      <c r="E35">
        <v>0</v>
      </c>
      <c r="F35">
        <v>1</v>
      </c>
      <c r="G35">
        <v>5</v>
      </c>
      <c r="H35">
        <v>3</v>
      </c>
      <c r="I35">
        <v>0</v>
      </c>
      <c r="J35">
        <v>63763</v>
      </c>
      <c r="K35">
        <v>0</v>
      </c>
      <c r="L35">
        <v>20</v>
      </c>
      <c r="M35" t="s">
        <v>66</v>
      </c>
      <c r="N35" t="e" vm="1">
        <v>#VALUE!</v>
      </c>
      <c r="O35">
        <v>2148</v>
      </c>
      <c r="P35" t="s">
        <v>230</v>
      </c>
      <c r="Q35" t="s">
        <v>68</v>
      </c>
      <c r="R35">
        <f t="shared" ca="1" si="0"/>
        <v>42</v>
      </c>
      <c r="S35" t="s">
        <v>42</v>
      </c>
      <c r="T35" t="s">
        <v>43</v>
      </c>
      <c r="U35" t="s">
        <v>44</v>
      </c>
      <c r="V35" t="s">
        <v>106</v>
      </c>
      <c r="W35" t="s">
        <v>231</v>
      </c>
      <c r="X35">
        <f t="shared" ca="1" si="2"/>
        <v>6</v>
      </c>
      <c r="Z35" t="str">
        <f t="shared" ca="1" si="1"/>
        <v/>
      </c>
      <c r="AA35" t="s">
        <v>47</v>
      </c>
      <c r="AB35" t="s">
        <v>48</v>
      </c>
      <c r="AC35" t="s">
        <v>88</v>
      </c>
      <c r="AD35">
        <v>11</v>
      </c>
      <c r="AE35" t="s">
        <v>102</v>
      </c>
      <c r="AF35" t="s">
        <v>63</v>
      </c>
      <c r="AG35">
        <v>4.51</v>
      </c>
      <c r="AH35">
        <v>4</v>
      </c>
      <c r="AI35">
        <v>0</v>
      </c>
      <c r="AJ35" t="s">
        <v>232</v>
      </c>
      <c r="AK35">
        <v>0</v>
      </c>
      <c r="AL35">
        <v>3</v>
      </c>
    </row>
    <row r="36" spans="1:38" x14ac:dyDescent="0.25">
      <c r="A36" t="s">
        <v>233</v>
      </c>
      <c r="B36">
        <v>10181</v>
      </c>
      <c r="C36">
        <v>1</v>
      </c>
      <c r="D36">
        <v>1</v>
      </c>
      <c r="E36">
        <v>1</v>
      </c>
      <c r="F36">
        <v>1</v>
      </c>
      <c r="G36">
        <v>5</v>
      </c>
      <c r="H36">
        <v>3</v>
      </c>
      <c r="I36">
        <v>0</v>
      </c>
      <c r="J36">
        <v>62162</v>
      </c>
      <c r="K36">
        <v>0</v>
      </c>
      <c r="L36">
        <v>20</v>
      </c>
      <c r="M36" t="s">
        <v>66</v>
      </c>
      <c r="N36" t="e" vm="1">
        <v>#VALUE!</v>
      </c>
      <c r="O36">
        <v>1890</v>
      </c>
      <c r="P36" t="s">
        <v>234</v>
      </c>
      <c r="Q36" t="s">
        <v>41</v>
      </c>
      <c r="R36">
        <f t="shared" ca="1" si="0"/>
        <v>42</v>
      </c>
      <c r="S36" t="s">
        <v>56</v>
      </c>
      <c r="T36" t="s">
        <v>43</v>
      </c>
      <c r="U36" t="s">
        <v>44</v>
      </c>
      <c r="V36" t="s">
        <v>45</v>
      </c>
      <c r="W36" t="s">
        <v>156</v>
      </c>
      <c r="X36">
        <f t="shared" ca="1" si="2"/>
        <v>7</v>
      </c>
      <c r="Z36" t="str">
        <f t="shared" ca="1" si="1"/>
        <v/>
      </c>
      <c r="AA36" t="s">
        <v>47</v>
      </c>
      <c r="AB36" t="s">
        <v>48</v>
      </c>
      <c r="AC36" t="s">
        <v>101</v>
      </c>
      <c r="AD36">
        <v>19</v>
      </c>
      <c r="AE36" t="s">
        <v>62</v>
      </c>
      <c r="AF36" t="s">
        <v>63</v>
      </c>
      <c r="AG36">
        <v>3.25</v>
      </c>
      <c r="AH36">
        <v>5</v>
      </c>
      <c r="AI36">
        <v>0</v>
      </c>
      <c r="AJ36" t="s">
        <v>152</v>
      </c>
      <c r="AK36">
        <v>0</v>
      </c>
      <c r="AL36">
        <v>15</v>
      </c>
    </row>
    <row r="37" spans="1:38" x14ac:dyDescent="0.25">
      <c r="A37" t="s">
        <v>235</v>
      </c>
      <c r="B37">
        <v>10150</v>
      </c>
      <c r="C37">
        <v>0</v>
      </c>
      <c r="D37">
        <v>0</v>
      </c>
      <c r="E37">
        <v>1</v>
      </c>
      <c r="F37">
        <v>1</v>
      </c>
      <c r="G37">
        <v>4</v>
      </c>
      <c r="H37">
        <v>3</v>
      </c>
      <c r="I37">
        <v>0</v>
      </c>
      <c r="J37">
        <v>77692</v>
      </c>
      <c r="K37">
        <v>0</v>
      </c>
      <c r="L37">
        <v>25</v>
      </c>
      <c r="M37" t="s">
        <v>236</v>
      </c>
      <c r="N37" t="e" vm="1">
        <v>#VALUE!</v>
      </c>
      <c r="O37">
        <v>2184</v>
      </c>
      <c r="P37" t="s">
        <v>237</v>
      </c>
      <c r="Q37" t="s">
        <v>41</v>
      </c>
      <c r="R37">
        <f t="shared" ca="1" si="0"/>
        <v>57</v>
      </c>
      <c r="S37" t="s">
        <v>42</v>
      </c>
      <c r="T37" t="s">
        <v>43</v>
      </c>
      <c r="U37" t="s">
        <v>44</v>
      </c>
      <c r="V37" t="s">
        <v>45</v>
      </c>
      <c r="W37" t="s">
        <v>224</v>
      </c>
      <c r="X37">
        <f t="shared" ca="1" si="2"/>
        <v>7</v>
      </c>
      <c r="Z37" t="str">
        <f t="shared" ca="1" si="1"/>
        <v/>
      </c>
      <c r="AA37" t="s">
        <v>47</v>
      </c>
      <c r="AB37" t="s">
        <v>94</v>
      </c>
      <c r="AC37" t="s">
        <v>238</v>
      </c>
      <c r="AD37">
        <v>5</v>
      </c>
      <c r="AE37" t="s">
        <v>83</v>
      </c>
      <c r="AF37" t="s">
        <v>63</v>
      </c>
      <c r="AG37">
        <v>3.84</v>
      </c>
      <c r="AH37">
        <v>3</v>
      </c>
      <c r="AI37">
        <v>5</v>
      </c>
      <c r="AJ37" t="s">
        <v>220</v>
      </c>
      <c r="AK37">
        <v>0</v>
      </c>
      <c r="AL37">
        <v>4</v>
      </c>
    </row>
    <row r="38" spans="1:38" x14ac:dyDescent="0.25">
      <c r="A38" t="s">
        <v>239</v>
      </c>
      <c r="B38">
        <v>10001</v>
      </c>
      <c r="C38">
        <v>0</v>
      </c>
      <c r="D38">
        <v>0</v>
      </c>
      <c r="E38">
        <v>1</v>
      </c>
      <c r="F38">
        <v>1</v>
      </c>
      <c r="G38">
        <v>5</v>
      </c>
      <c r="H38">
        <v>4</v>
      </c>
      <c r="I38">
        <v>0</v>
      </c>
      <c r="J38">
        <v>72640</v>
      </c>
      <c r="K38">
        <v>0</v>
      </c>
      <c r="L38">
        <v>18</v>
      </c>
      <c r="M38" t="s">
        <v>198</v>
      </c>
      <c r="N38" t="e" vm="1">
        <v>#VALUE!</v>
      </c>
      <c r="O38">
        <v>2169</v>
      </c>
      <c r="P38" t="s">
        <v>240</v>
      </c>
      <c r="Q38" t="s">
        <v>41</v>
      </c>
      <c r="R38">
        <f t="shared" ca="1" si="0"/>
        <v>41</v>
      </c>
      <c r="S38" t="s">
        <v>42</v>
      </c>
      <c r="T38" t="s">
        <v>43</v>
      </c>
      <c r="U38" t="s">
        <v>44</v>
      </c>
      <c r="V38" t="s">
        <v>45</v>
      </c>
      <c r="W38" t="s">
        <v>241</v>
      </c>
      <c r="X38">
        <f t="shared" ca="1" si="2"/>
        <v>3</v>
      </c>
      <c r="Z38" t="str">
        <f t="shared" ca="1" si="1"/>
        <v/>
      </c>
      <c r="AA38" t="s">
        <v>47</v>
      </c>
      <c r="AB38" t="s">
        <v>48</v>
      </c>
      <c r="AC38" t="s">
        <v>201</v>
      </c>
      <c r="AD38">
        <v>2</v>
      </c>
      <c r="AE38" t="s">
        <v>62</v>
      </c>
      <c r="AF38" t="s">
        <v>51</v>
      </c>
      <c r="AG38">
        <v>5</v>
      </c>
      <c r="AH38">
        <v>3</v>
      </c>
      <c r="AI38">
        <v>0</v>
      </c>
      <c r="AJ38" t="s">
        <v>242</v>
      </c>
      <c r="AK38">
        <v>0</v>
      </c>
      <c r="AL38">
        <v>14</v>
      </c>
    </row>
    <row r="39" spans="1:38" x14ac:dyDescent="0.25">
      <c r="A39" t="s">
        <v>243</v>
      </c>
      <c r="B39">
        <v>10085</v>
      </c>
      <c r="C39">
        <v>0</v>
      </c>
      <c r="D39">
        <v>0</v>
      </c>
      <c r="E39">
        <v>0</v>
      </c>
      <c r="F39">
        <v>1</v>
      </c>
      <c r="G39">
        <v>4</v>
      </c>
      <c r="H39">
        <v>3</v>
      </c>
      <c r="I39">
        <v>0</v>
      </c>
      <c r="J39">
        <v>93396</v>
      </c>
      <c r="K39">
        <v>0</v>
      </c>
      <c r="L39">
        <v>24</v>
      </c>
      <c r="M39" t="s">
        <v>91</v>
      </c>
      <c r="N39" t="e" vm="1">
        <v>#VALUE!</v>
      </c>
      <c r="O39">
        <v>2132</v>
      </c>
      <c r="P39" t="s">
        <v>244</v>
      </c>
      <c r="Q39" t="s">
        <v>68</v>
      </c>
      <c r="R39">
        <f t="shared" ca="1" si="0"/>
        <v>32</v>
      </c>
      <c r="S39" t="s">
        <v>42</v>
      </c>
      <c r="T39" t="s">
        <v>43</v>
      </c>
      <c r="U39" t="s">
        <v>44</v>
      </c>
      <c r="V39" t="s">
        <v>45</v>
      </c>
      <c r="W39" t="s">
        <v>219</v>
      </c>
      <c r="X39">
        <f t="shared" ca="1" si="2"/>
        <v>5</v>
      </c>
      <c r="Z39" t="str">
        <f t="shared" ca="1" si="1"/>
        <v/>
      </c>
      <c r="AA39" t="s">
        <v>47</v>
      </c>
      <c r="AB39" t="s">
        <v>94</v>
      </c>
      <c r="AC39" t="s">
        <v>95</v>
      </c>
      <c r="AD39">
        <v>10</v>
      </c>
      <c r="AE39" t="s">
        <v>62</v>
      </c>
      <c r="AF39" t="s">
        <v>63</v>
      </c>
      <c r="AG39">
        <v>4.96</v>
      </c>
      <c r="AH39">
        <v>4</v>
      </c>
      <c r="AI39">
        <v>6</v>
      </c>
      <c r="AJ39" t="s">
        <v>245</v>
      </c>
      <c r="AK39">
        <v>0</v>
      </c>
      <c r="AL39">
        <v>3</v>
      </c>
    </row>
    <row r="40" spans="1:38" x14ac:dyDescent="0.25">
      <c r="A40" t="s">
        <v>246</v>
      </c>
      <c r="B40">
        <v>10115</v>
      </c>
      <c r="C40">
        <v>0</v>
      </c>
      <c r="D40">
        <v>0</v>
      </c>
      <c r="E40">
        <v>1</v>
      </c>
      <c r="F40">
        <v>1</v>
      </c>
      <c r="G40">
        <v>5</v>
      </c>
      <c r="H40">
        <v>3</v>
      </c>
      <c r="I40">
        <v>0</v>
      </c>
      <c r="J40">
        <v>52846</v>
      </c>
      <c r="K40">
        <v>0</v>
      </c>
      <c r="L40">
        <v>19</v>
      </c>
      <c r="M40" t="s">
        <v>39</v>
      </c>
      <c r="N40" t="e" vm="1">
        <v>#VALUE!</v>
      </c>
      <c r="O40">
        <v>1701</v>
      </c>
      <c r="P40" t="s">
        <v>247</v>
      </c>
      <c r="Q40" t="s">
        <v>41</v>
      </c>
      <c r="R40">
        <f t="shared" ca="1" si="0"/>
        <v>41</v>
      </c>
      <c r="S40" t="s">
        <v>42</v>
      </c>
      <c r="T40" t="s">
        <v>43</v>
      </c>
      <c r="U40" t="s">
        <v>44</v>
      </c>
      <c r="V40" t="s">
        <v>106</v>
      </c>
      <c r="W40" t="s">
        <v>248</v>
      </c>
      <c r="X40">
        <f t="shared" ca="1" si="2"/>
        <v>4</v>
      </c>
      <c r="Z40" t="str">
        <f t="shared" ca="1" si="1"/>
        <v/>
      </c>
      <c r="AA40" t="s">
        <v>47</v>
      </c>
      <c r="AB40" t="s">
        <v>48</v>
      </c>
      <c r="AC40" t="s">
        <v>136</v>
      </c>
      <c r="AD40">
        <v>18</v>
      </c>
      <c r="AE40" t="s">
        <v>50</v>
      </c>
      <c r="AF40" t="s">
        <v>63</v>
      </c>
      <c r="AG40">
        <v>4.43</v>
      </c>
      <c r="AH40">
        <v>3</v>
      </c>
      <c r="AI40">
        <v>0</v>
      </c>
      <c r="AJ40" t="s">
        <v>215</v>
      </c>
      <c r="AK40">
        <v>0</v>
      </c>
      <c r="AL40">
        <v>14</v>
      </c>
    </row>
    <row r="41" spans="1:38" x14ac:dyDescent="0.25">
      <c r="A41" t="s">
        <v>249</v>
      </c>
      <c r="B41">
        <v>10082</v>
      </c>
      <c r="C41">
        <v>0</v>
      </c>
      <c r="D41">
        <v>0</v>
      </c>
      <c r="E41">
        <v>0</v>
      </c>
      <c r="F41">
        <v>2</v>
      </c>
      <c r="G41">
        <v>3</v>
      </c>
      <c r="H41">
        <v>3</v>
      </c>
      <c r="I41">
        <v>0</v>
      </c>
      <c r="J41">
        <v>100031</v>
      </c>
      <c r="K41">
        <v>0</v>
      </c>
      <c r="L41">
        <v>27</v>
      </c>
      <c r="M41" t="s">
        <v>54</v>
      </c>
      <c r="N41" t="e" vm="1">
        <v>#VALUE!</v>
      </c>
      <c r="O41">
        <v>1886</v>
      </c>
      <c r="P41" t="s">
        <v>250</v>
      </c>
      <c r="Q41" t="s">
        <v>68</v>
      </c>
      <c r="R41">
        <f t="shared" ca="1" si="0"/>
        <v>34</v>
      </c>
      <c r="S41" t="s">
        <v>42</v>
      </c>
      <c r="T41" t="s">
        <v>43</v>
      </c>
      <c r="U41" t="s">
        <v>44</v>
      </c>
      <c r="V41" t="s">
        <v>106</v>
      </c>
      <c r="W41" t="s">
        <v>251</v>
      </c>
      <c r="X41">
        <f t="shared" ca="1" si="2"/>
        <v>2</v>
      </c>
      <c r="Z41" t="str">
        <f t="shared" ca="1" si="1"/>
        <v/>
      </c>
      <c r="AA41" t="s">
        <v>47</v>
      </c>
      <c r="AB41" t="s">
        <v>60</v>
      </c>
      <c r="AC41" t="s">
        <v>61</v>
      </c>
      <c r="AD41">
        <v>4</v>
      </c>
      <c r="AE41" t="s">
        <v>50</v>
      </c>
      <c r="AF41" t="s">
        <v>63</v>
      </c>
      <c r="AG41">
        <v>5</v>
      </c>
      <c r="AH41">
        <v>5</v>
      </c>
      <c r="AI41">
        <v>6</v>
      </c>
      <c r="AJ41" t="s">
        <v>116</v>
      </c>
      <c r="AK41">
        <v>0</v>
      </c>
      <c r="AL41">
        <v>7</v>
      </c>
    </row>
    <row r="42" spans="1:38" x14ac:dyDescent="0.25">
      <c r="A42" t="s">
        <v>252</v>
      </c>
      <c r="B42">
        <v>10040</v>
      </c>
      <c r="C42">
        <v>0</v>
      </c>
      <c r="D42">
        <v>0</v>
      </c>
      <c r="E42">
        <v>0</v>
      </c>
      <c r="F42">
        <v>1</v>
      </c>
      <c r="G42">
        <v>6</v>
      </c>
      <c r="H42">
        <v>3</v>
      </c>
      <c r="I42">
        <v>0</v>
      </c>
      <c r="J42">
        <v>71860</v>
      </c>
      <c r="K42">
        <v>0</v>
      </c>
      <c r="L42">
        <v>3</v>
      </c>
      <c r="M42" t="s">
        <v>222</v>
      </c>
      <c r="N42" t="e" vm="5">
        <v>#VALUE!</v>
      </c>
      <c r="O42">
        <v>5664</v>
      </c>
      <c r="P42" t="s">
        <v>253</v>
      </c>
      <c r="Q42" t="s">
        <v>68</v>
      </c>
      <c r="R42">
        <f t="shared" ca="1" si="0"/>
        <v>57</v>
      </c>
      <c r="S42" t="s">
        <v>42</v>
      </c>
      <c r="T42" t="s">
        <v>43</v>
      </c>
      <c r="U42" t="s">
        <v>44</v>
      </c>
      <c r="V42" t="s">
        <v>45</v>
      </c>
      <c r="W42" t="s">
        <v>254</v>
      </c>
      <c r="X42">
        <f t="shared" ca="1" si="2"/>
        <v>4</v>
      </c>
      <c r="Z42" t="str">
        <f t="shared" ca="1" si="1"/>
        <v/>
      </c>
      <c r="AA42" t="s">
        <v>47</v>
      </c>
      <c r="AB42" t="s">
        <v>226</v>
      </c>
      <c r="AC42" t="s">
        <v>227</v>
      </c>
      <c r="AD42">
        <v>17</v>
      </c>
      <c r="AE42" t="s">
        <v>62</v>
      </c>
      <c r="AF42" t="s">
        <v>63</v>
      </c>
      <c r="AG42">
        <v>5</v>
      </c>
      <c r="AH42">
        <v>5</v>
      </c>
      <c r="AI42">
        <v>0</v>
      </c>
      <c r="AJ42" t="s">
        <v>220</v>
      </c>
      <c r="AK42">
        <v>0</v>
      </c>
      <c r="AL42">
        <v>7</v>
      </c>
    </row>
    <row r="43" spans="1:38" x14ac:dyDescent="0.25">
      <c r="A43" t="s">
        <v>255</v>
      </c>
      <c r="B43">
        <v>10067</v>
      </c>
      <c r="C43">
        <v>0</v>
      </c>
      <c r="D43">
        <v>0</v>
      </c>
      <c r="E43">
        <v>0</v>
      </c>
      <c r="F43">
        <v>1</v>
      </c>
      <c r="G43">
        <v>5</v>
      </c>
      <c r="H43">
        <v>3</v>
      </c>
      <c r="I43">
        <v>0</v>
      </c>
      <c r="J43">
        <v>61656</v>
      </c>
      <c r="K43">
        <v>0</v>
      </c>
      <c r="L43">
        <v>19</v>
      </c>
      <c r="M43" t="s">
        <v>39</v>
      </c>
      <c r="N43" t="e" vm="1">
        <v>#VALUE!</v>
      </c>
      <c r="O43">
        <v>2763</v>
      </c>
      <c r="P43" t="s">
        <v>256</v>
      </c>
      <c r="Q43" t="s">
        <v>68</v>
      </c>
      <c r="R43">
        <f t="shared" ca="1" si="0"/>
        <v>65</v>
      </c>
      <c r="S43" t="s">
        <v>42</v>
      </c>
      <c r="T43" t="s">
        <v>43</v>
      </c>
      <c r="U43" t="s">
        <v>44</v>
      </c>
      <c r="V43" t="s">
        <v>45</v>
      </c>
      <c r="W43" t="s">
        <v>214</v>
      </c>
      <c r="X43">
        <f t="shared" ca="1" si="2"/>
        <v>4</v>
      </c>
      <c r="Z43" t="str">
        <f t="shared" ca="1" si="1"/>
        <v/>
      </c>
      <c r="AA43" t="s">
        <v>47</v>
      </c>
      <c r="AB43" t="s">
        <v>48</v>
      </c>
      <c r="AC43" t="s">
        <v>49</v>
      </c>
      <c r="AD43">
        <v>22</v>
      </c>
      <c r="AE43" t="s">
        <v>83</v>
      </c>
      <c r="AF43" t="s">
        <v>63</v>
      </c>
      <c r="AG43">
        <v>5</v>
      </c>
      <c r="AH43">
        <v>4</v>
      </c>
      <c r="AI43">
        <v>0</v>
      </c>
      <c r="AJ43" t="s">
        <v>257</v>
      </c>
      <c r="AK43">
        <v>0</v>
      </c>
      <c r="AL43">
        <v>11</v>
      </c>
    </row>
    <row r="44" spans="1:38" x14ac:dyDescent="0.25">
      <c r="A44" t="s">
        <v>258</v>
      </c>
      <c r="B44">
        <v>10108</v>
      </c>
      <c r="C44">
        <v>1</v>
      </c>
      <c r="D44">
        <v>1</v>
      </c>
      <c r="E44">
        <v>1</v>
      </c>
      <c r="F44">
        <v>1</v>
      </c>
      <c r="G44">
        <v>3</v>
      </c>
      <c r="H44">
        <v>3</v>
      </c>
      <c r="I44">
        <v>0</v>
      </c>
      <c r="J44">
        <v>110929</v>
      </c>
      <c r="K44">
        <v>0</v>
      </c>
      <c r="L44">
        <v>5</v>
      </c>
      <c r="M44" t="s">
        <v>259</v>
      </c>
      <c r="N44" t="e" vm="1">
        <v>#VALUE!</v>
      </c>
      <c r="O44">
        <v>2045</v>
      </c>
      <c r="P44" t="s">
        <v>260</v>
      </c>
      <c r="Q44" t="s">
        <v>41</v>
      </c>
      <c r="R44">
        <f t="shared" ca="1" si="0"/>
        <v>49</v>
      </c>
      <c r="S44" t="s">
        <v>56</v>
      </c>
      <c r="T44" t="s">
        <v>43</v>
      </c>
      <c r="U44" t="s">
        <v>44</v>
      </c>
      <c r="V44" t="s">
        <v>45</v>
      </c>
      <c r="W44" t="s">
        <v>261</v>
      </c>
      <c r="X44">
        <f t="shared" ca="1" si="2"/>
        <v>2</v>
      </c>
      <c r="Z44" t="str">
        <f t="shared" ca="1" si="1"/>
        <v/>
      </c>
      <c r="AA44" t="s">
        <v>47</v>
      </c>
      <c r="AB44" t="s">
        <v>60</v>
      </c>
      <c r="AC44" t="s">
        <v>238</v>
      </c>
      <c r="AD44">
        <v>5</v>
      </c>
      <c r="AE44" t="s">
        <v>62</v>
      </c>
      <c r="AF44" t="s">
        <v>63</v>
      </c>
      <c r="AG44">
        <v>4.5</v>
      </c>
      <c r="AH44">
        <v>5</v>
      </c>
      <c r="AI44">
        <v>7</v>
      </c>
      <c r="AJ44" t="s">
        <v>211</v>
      </c>
      <c r="AK44">
        <v>0</v>
      </c>
      <c r="AL44">
        <v>8</v>
      </c>
    </row>
    <row r="45" spans="1:38" x14ac:dyDescent="0.25">
      <c r="A45" t="s">
        <v>262</v>
      </c>
      <c r="B45">
        <v>10210</v>
      </c>
      <c r="C45">
        <v>0</v>
      </c>
      <c r="D45">
        <v>0</v>
      </c>
      <c r="E45">
        <v>0</v>
      </c>
      <c r="F45">
        <v>1</v>
      </c>
      <c r="G45">
        <v>5</v>
      </c>
      <c r="H45">
        <v>3</v>
      </c>
      <c r="I45">
        <v>0</v>
      </c>
      <c r="J45">
        <v>54237</v>
      </c>
      <c r="K45">
        <v>0</v>
      </c>
      <c r="L45">
        <v>19</v>
      </c>
      <c r="M45" t="s">
        <v>39</v>
      </c>
      <c r="N45" t="e" vm="1">
        <v>#VALUE!</v>
      </c>
      <c r="O45">
        <v>2170</v>
      </c>
      <c r="P45" t="s">
        <v>263</v>
      </c>
      <c r="Q45" t="s">
        <v>68</v>
      </c>
      <c r="R45">
        <f t="shared" ca="1" si="0"/>
        <v>46</v>
      </c>
      <c r="S45" t="s">
        <v>42</v>
      </c>
      <c r="T45" t="s">
        <v>43</v>
      </c>
      <c r="U45" t="s">
        <v>44</v>
      </c>
      <c r="V45" t="s">
        <v>45</v>
      </c>
      <c r="W45" t="s">
        <v>264</v>
      </c>
      <c r="X45">
        <f t="shared" ca="1" si="2"/>
        <v>4</v>
      </c>
      <c r="Z45" t="str">
        <f t="shared" ca="1" si="1"/>
        <v/>
      </c>
      <c r="AA45" t="s">
        <v>47</v>
      </c>
      <c r="AB45" t="s">
        <v>48</v>
      </c>
      <c r="AC45" t="s">
        <v>75</v>
      </c>
      <c r="AD45">
        <v>16</v>
      </c>
      <c r="AE45" t="s">
        <v>62</v>
      </c>
      <c r="AF45" t="s">
        <v>63</v>
      </c>
      <c r="AG45">
        <v>3.3</v>
      </c>
      <c r="AH45">
        <v>4</v>
      </c>
      <c r="AI45">
        <v>0</v>
      </c>
      <c r="AJ45" t="s">
        <v>265</v>
      </c>
      <c r="AK45">
        <v>0</v>
      </c>
      <c r="AL45">
        <v>11</v>
      </c>
    </row>
    <row r="46" spans="1:38" x14ac:dyDescent="0.25">
      <c r="A46" t="s">
        <v>266</v>
      </c>
      <c r="B46">
        <v>10154</v>
      </c>
      <c r="C46">
        <v>0</v>
      </c>
      <c r="D46">
        <v>0</v>
      </c>
      <c r="E46">
        <v>1</v>
      </c>
      <c r="F46">
        <v>1</v>
      </c>
      <c r="G46">
        <v>5</v>
      </c>
      <c r="H46">
        <v>3</v>
      </c>
      <c r="I46">
        <v>0</v>
      </c>
      <c r="J46">
        <v>60380</v>
      </c>
      <c r="K46">
        <v>0</v>
      </c>
      <c r="L46">
        <v>19</v>
      </c>
      <c r="M46" t="s">
        <v>39</v>
      </c>
      <c r="N46" t="e" vm="1">
        <v>#VALUE!</v>
      </c>
      <c r="O46">
        <v>1845</v>
      </c>
      <c r="P46" t="s">
        <v>267</v>
      </c>
      <c r="Q46" t="s">
        <v>41</v>
      </c>
      <c r="R46">
        <f t="shared" ca="1" si="0"/>
        <v>34</v>
      </c>
      <c r="S46" t="s">
        <v>42</v>
      </c>
      <c r="T46" t="s">
        <v>43</v>
      </c>
      <c r="U46" t="s">
        <v>44</v>
      </c>
      <c r="V46" t="s">
        <v>45</v>
      </c>
      <c r="W46" t="s">
        <v>166</v>
      </c>
      <c r="X46">
        <f t="shared" ca="1" si="2"/>
        <v>5</v>
      </c>
      <c r="Z46" t="str">
        <f t="shared" ca="1" si="1"/>
        <v/>
      </c>
      <c r="AA46" t="s">
        <v>47</v>
      </c>
      <c r="AB46" t="s">
        <v>48</v>
      </c>
      <c r="AC46" t="s">
        <v>82</v>
      </c>
      <c r="AE46" t="s">
        <v>50</v>
      </c>
      <c r="AF46" t="s">
        <v>63</v>
      </c>
      <c r="AG46">
        <v>3.8</v>
      </c>
      <c r="AH46">
        <v>5</v>
      </c>
      <c r="AI46">
        <v>0</v>
      </c>
      <c r="AJ46" t="s">
        <v>152</v>
      </c>
      <c r="AK46">
        <v>0</v>
      </c>
      <c r="AL46">
        <v>4</v>
      </c>
    </row>
    <row r="47" spans="1:38" x14ac:dyDescent="0.25">
      <c r="A47" t="s">
        <v>268</v>
      </c>
      <c r="B47">
        <v>10200</v>
      </c>
      <c r="C47">
        <v>0</v>
      </c>
      <c r="D47">
        <v>0</v>
      </c>
      <c r="E47">
        <v>1</v>
      </c>
      <c r="F47">
        <v>1</v>
      </c>
      <c r="G47">
        <v>6</v>
      </c>
      <c r="H47">
        <v>3</v>
      </c>
      <c r="I47">
        <v>0</v>
      </c>
      <c r="J47">
        <v>66808</v>
      </c>
      <c r="K47">
        <v>0</v>
      </c>
      <c r="L47">
        <v>3</v>
      </c>
      <c r="M47" t="s">
        <v>222</v>
      </c>
      <c r="N47" t="e" vm="2">
        <v>#VALUE!</v>
      </c>
      <c r="O47">
        <v>78207</v>
      </c>
      <c r="P47" t="s">
        <v>269</v>
      </c>
      <c r="Q47" t="s">
        <v>41</v>
      </c>
      <c r="R47">
        <f t="shared" ca="1" si="0"/>
        <v>47</v>
      </c>
      <c r="S47" t="s">
        <v>42</v>
      </c>
      <c r="T47" t="s">
        <v>155</v>
      </c>
      <c r="U47" t="s">
        <v>44</v>
      </c>
      <c r="V47" t="s">
        <v>106</v>
      </c>
      <c r="W47" t="s">
        <v>270</v>
      </c>
      <c r="X47">
        <f t="shared" ca="1" si="2"/>
        <v>6</v>
      </c>
      <c r="Z47" t="str">
        <f t="shared" ca="1" si="1"/>
        <v/>
      </c>
      <c r="AA47" t="s">
        <v>47</v>
      </c>
      <c r="AB47" t="s">
        <v>226</v>
      </c>
      <c r="AC47" t="s">
        <v>271</v>
      </c>
      <c r="AD47">
        <v>21</v>
      </c>
      <c r="AE47" t="s">
        <v>102</v>
      </c>
      <c r="AF47" t="s">
        <v>63</v>
      </c>
      <c r="AG47">
        <v>3</v>
      </c>
      <c r="AH47">
        <v>5</v>
      </c>
      <c r="AI47">
        <v>0</v>
      </c>
      <c r="AJ47" t="s">
        <v>272</v>
      </c>
      <c r="AK47">
        <v>0</v>
      </c>
      <c r="AL47">
        <v>17</v>
      </c>
    </row>
    <row r="48" spans="1:38" x14ac:dyDescent="0.25">
      <c r="A48" t="s">
        <v>273</v>
      </c>
      <c r="B48">
        <v>10240</v>
      </c>
      <c r="C48">
        <v>0</v>
      </c>
      <c r="D48">
        <v>0</v>
      </c>
      <c r="E48">
        <v>0</v>
      </c>
      <c r="F48">
        <v>5</v>
      </c>
      <c r="G48">
        <v>5</v>
      </c>
      <c r="H48">
        <v>3</v>
      </c>
      <c r="I48">
        <v>0</v>
      </c>
      <c r="J48">
        <v>64786</v>
      </c>
      <c r="K48">
        <v>1</v>
      </c>
      <c r="L48">
        <v>19</v>
      </c>
      <c r="M48" t="s">
        <v>39</v>
      </c>
      <c r="N48" t="e" vm="1">
        <v>#VALUE!</v>
      </c>
      <c r="O48">
        <v>1775</v>
      </c>
      <c r="P48" t="s">
        <v>274</v>
      </c>
      <c r="Q48" t="s">
        <v>68</v>
      </c>
      <c r="R48">
        <f t="shared" ca="1" si="0"/>
        <v>40</v>
      </c>
      <c r="S48" t="s">
        <v>42</v>
      </c>
      <c r="T48" t="s">
        <v>43</v>
      </c>
      <c r="U48" t="s">
        <v>44</v>
      </c>
      <c r="V48" t="s">
        <v>45</v>
      </c>
      <c r="W48" t="s">
        <v>275</v>
      </c>
      <c r="X48">
        <f t="shared" ca="1" si="2"/>
        <v>7</v>
      </c>
      <c r="Y48" t="s">
        <v>276</v>
      </c>
      <c r="Z48">
        <f t="shared" ca="1" si="1"/>
        <v>470</v>
      </c>
      <c r="AA48" t="s">
        <v>59</v>
      </c>
      <c r="AB48" t="s">
        <v>48</v>
      </c>
      <c r="AC48" t="s">
        <v>88</v>
      </c>
      <c r="AD48">
        <v>11</v>
      </c>
      <c r="AE48" t="s">
        <v>62</v>
      </c>
      <c r="AF48" t="s">
        <v>63</v>
      </c>
      <c r="AG48">
        <v>4.3</v>
      </c>
      <c r="AH48">
        <v>4</v>
      </c>
      <c r="AI48">
        <v>0</v>
      </c>
      <c r="AJ48" t="s">
        <v>277</v>
      </c>
      <c r="AK48">
        <v>0</v>
      </c>
      <c r="AL48">
        <v>3</v>
      </c>
    </row>
    <row r="49" spans="1:38" x14ac:dyDescent="0.25">
      <c r="A49" t="s">
        <v>278</v>
      </c>
      <c r="B49">
        <v>10168</v>
      </c>
      <c r="C49">
        <v>0</v>
      </c>
      <c r="D49">
        <v>0</v>
      </c>
      <c r="E49">
        <v>0</v>
      </c>
      <c r="F49">
        <v>1</v>
      </c>
      <c r="G49">
        <v>5</v>
      </c>
      <c r="H49">
        <v>3</v>
      </c>
      <c r="I49">
        <v>0</v>
      </c>
      <c r="J49">
        <v>64816</v>
      </c>
      <c r="K49">
        <v>0</v>
      </c>
      <c r="L49">
        <v>19</v>
      </c>
      <c r="M49" t="s">
        <v>39</v>
      </c>
      <c r="N49" t="e" vm="1">
        <v>#VALUE!</v>
      </c>
      <c r="O49">
        <v>2044</v>
      </c>
      <c r="P49" t="s">
        <v>279</v>
      </c>
      <c r="Q49" t="s">
        <v>68</v>
      </c>
      <c r="R49">
        <f t="shared" ca="1" si="0"/>
        <v>31</v>
      </c>
      <c r="S49" t="s">
        <v>42</v>
      </c>
      <c r="T49" t="s">
        <v>280</v>
      </c>
      <c r="U49" t="s">
        <v>44</v>
      </c>
      <c r="V49" t="s">
        <v>106</v>
      </c>
      <c r="W49" t="s">
        <v>281</v>
      </c>
      <c r="X49">
        <f t="shared" ca="1" si="2"/>
        <v>7</v>
      </c>
      <c r="Z49" t="str">
        <f t="shared" ca="1" si="1"/>
        <v/>
      </c>
      <c r="AA49" t="s">
        <v>47</v>
      </c>
      <c r="AB49" t="s">
        <v>48</v>
      </c>
      <c r="AC49" t="s">
        <v>101</v>
      </c>
      <c r="AD49">
        <v>19</v>
      </c>
      <c r="AE49" t="s">
        <v>62</v>
      </c>
      <c r="AF49" t="s">
        <v>63</v>
      </c>
      <c r="AG49">
        <v>3.58</v>
      </c>
      <c r="AH49">
        <v>5</v>
      </c>
      <c r="AI49">
        <v>0</v>
      </c>
      <c r="AJ49" t="s">
        <v>245</v>
      </c>
      <c r="AK49">
        <v>0</v>
      </c>
      <c r="AL49">
        <v>3</v>
      </c>
    </row>
    <row r="50" spans="1:38" x14ac:dyDescent="0.25">
      <c r="A50" t="s">
        <v>282</v>
      </c>
      <c r="B50">
        <v>10220</v>
      </c>
      <c r="C50">
        <v>0</v>
      </c>
      <c r="D50">
        <v>0</v>
      </c>
      <c r="E50">
        <v>1</v>
      </c>
      <c r="F50">
        <v>1</v>
      </c>
      <c r="G50">
        <v>3</v>
      </c>
      <c r="H50">
        <v>3</v>
      </c>
      <c r="I50">
        <v>0</v>
      </c>
      <c r="J50">
        <v>68678</v>
      </c>
      <c r="K50">
        <v>0</v>
      </c>
      <c r="L50">
        <v>14</v>
      </c>
      <c r="M50" t="s">
        <v>112</v>
      </c>
      <c r="N50" t="e" vm="1">
        <v>#VALUE!</v>
      </c>
      <c r="O50">
        <v>2170</v>
      </c>
      <c r="P50" t="s">
        <v>283</v>
      </c>
      <c r="Q50" t="s">
        <v>41</v>
      </c>
      <c r="R50">
        <f t="shared" ca="1" si="0"/>
        <v>38</v>
      </c>
      <c r="S50" t="s">
        <v>42</v>
      </c>
      <c r="T50" t="s">
        <v>43</v>
      </c>
      <c r="U50" t="s">
        <v>44</v>
      </c>
      <c r="V50" t="s">
        <v>45</v>
      </c>
      <c r="W50" t="s">
        <v>284</v>
      </c>
      <c r="X50">
        <f t="shared" ca="1" si="2"/>
        <v>6</v>
      </c>
      <c r="Z50" t="str">
        <f t="shared" ca="1" si="1"/>
        <v/>
      </c>
      <c r="AA50" t="s">
        <v>47</v>
      </c>
      <c r="AB50" t="s">
        <v>60</v>
      </c>
      <c r="AC50" t="s">
        <v>285</v>
      </c>
      <c r="AD50">
        <v>6</v>
      </c>
      <c r="AE50" t="s">
        <v>62</v>
      </c>
      <c r="AF50" t="s">
        <v>63</v>
      </c>
      <c r="AG50">
        <v>4.7</v>
      </c>
      <c r="AH50">
        <v>3</v>
      </c>
      <c r="AI50">
        <v>6</v>
      </c>
      <c r="AJ50" t="s">
        <v>176</v>
      </c>
      <c r="AK50">
        <v>0</v>
      </c>
      <c r="AL50">
        <v>2</v>
      </c>
    </row>
    <row r="51" spans="1:38" x14ac:dyDescent="0.25">
      <c r="A51" t="s">
        <v>286</v>
      </c>
      <c r="B51">
        <v>10275</v>
      </c>
      <c r="C51">
        <v>1</v>
      </c>
      <c r="D51">
        <v>1</v>
      </c>
      <c r="E51">
        <v>0</v>
      </c>
      <c r="F51">
        <v>5</v>
      </c>
      <c r="G51">
        <v>5</v>
      </c>
      <c r="H51">
        <v>3</v>
      </c>
      <c r="I51">
        <v>0</v>
      </c>
      <c r="J51">
        <v>64066</v>
      </c>
      <c r="K51">
        <v>1</v>
      </c>
      <c r="L51">
        <v>20</v>
      </c>
      <c r="M51" t="s">
        <v>66</v>
      </c>
      <c r="N51" t="e" vm="1">
        <v>#VALUE!</v>
      </c>
      <c r="O51">
        <v>1752</v>
      </c>
      <c r="P51" t="s">
        <v>287</v>
      </c>
      <c r="Q51" t="s">
        <v>68</v>
      </c>
      <c r="R51">
        <f t="shared" ca="1" si="0"/>
        <v>35</v>
      </c>
      <c r="S51" t="s">
        <v>56</v>
      </c>
      <c r="T51" t="s">
        <v>43</v>
      </c>
      <c r="U51" t="s">
        <v>44</v>
      </c>
      <c r="V51" t="s">
        <v>45</v>
      </c>
      <c r="W51" t="s">
        <v>288</v>
      </c>
      <c r="X51">
        <f t="shared" ca="1" si="2"/>
        <v>7</v>
      </c>
      <c r="Y51" t="s">
        <v>289</v>
      </c>
      <c r="Z51">
        <f t="shared" ca="1" si="1"/>
        <v>627</v>
      </c>
      <c r="AA51" t="s">
        <v>59</v>
      </c>
      <c r="AB51" t="s">
        <v>48</v>
      </c>
      <c r="AC51" t="s">
        <v>108</v>
      </c>
      <c r="AD51">
        <v>12</v>
      </c>
      <c r="AE51" t="s">
        <v>83</v>
      </c>
      <c r="AF51" t="s">
        <v>63</v>
      </c>
      <c r="AG51">
        <v>4.2</v>
      </c>
      <c r="AH51">
        <v>5</v>
      </c>
      <c r="AI51">
        <v>0</v>
      </c>
      <c r="AJ51" t="s">
        <v>290</v>
      </c>
      <c r="AK51">
        <v>0</v>
      </c>
      <c r="AL51">
        <v>9</v>
      </c>
    </row>
    <row r="52" spans="1:38" x14ac:dyDescent="0.25">
      <c r="A52" t="s">
        <v>291</v>
      </c>
      <c r="B52">
        <v>10269</v>
      </c>
      <c r="C52">
        <v>1</v>
      </c>
      <c r="D52">
        <v>1</v>
      </c>
      <c r="E52">
        <v>1</v>
      </c>
      <c r="F52">
        <v>5</v>
      </c>
      <c r="G52">
        <v>5</v>
      </c>
      <c r="H52">
        <v>3</v>
      </c>
      <c r="I52">
        <v>0</v>
      </c>
      <c r="J52">
        <v>59369</v>
      </c>
      <c r="K52">
        <v>1</v>
      </c>
      <c r="L52">
        <v>20</v>
      </c>
      <c r="M52" t="s">
        <v>66</v>
      </c>
      <c r="N52" t="e" vm="1">
        <v>#VALUE!</v>
      </c>
      <c r="O52">
        <v>2169</v>
      </c>
      <c r="P52" t="s">
        <v>292</v>
      </c>
      <c r="Q52" t="s">
        <v>41</v>
      </c>
      <c r="R52">
        <f t="shared" ca="1" si="0"/>
        <v>42</v>
      </c>
      <c r="S52" t="s">
        <v>56</v>
      </c>
      <c r="T52" t="s">
        <v>43</v>
      </c>
      <c r="U52" t="s">
        <v>44</v>
      </c>
      <c r="V52" t="s">
        <v>45</v>
      </c>
      <c r="W52" t="s">
        <v>293</v>
      </c>
      <c r="X52">
        <f t="shared" ca="1" si="2"/>
        <v>8</v>
      </c>
      <c r="Y52" t="s">
        <v>294</v>
      </c>
      <c r="Z52">
        <f t="shared" ca="1" si="1"/>
        <v>644</v>
      </c>
      <c r="AA52" t="s">
        <v>59</v>
      </c>
      <c r="AB52" t="s">
        <v>48</v>
      </c>
      <c r="AC52" t="s">
        <v>122</v>
      </c>
      <c r="AD52">
        <v>14</v>
      </c>
      <c r="AE52" t="s">
        <v>62</v>
      </c>
      <c r="AF52" t="s">
        <v>63</v>
      </c>
      <c r="AG52">
        <v>4.2</v>
      </c>
      <c r="AH52">
        <v>4</v>
      </c>
      <c r="AI52">
        <v>0</v>
      </c>
      <c r="AJ52" t="s">
        <v>295</v>
      </c>
      <c r="AK52">
        <v>0</v>
      </c>
      <c r="AL52">
        <v>6</v>
      </c>
    </row>
    <row r="53" spans="1:38" x14ac:dyDescent="0.25">
      <c r="A53" t="s">
        <v>296</v>
      </c>
      <c r="B53">
        <v>10029</v>
      </c>
      <c r="C53">
        <v>1</v>
      </c>
      <c r="D53">
        <v>1</v>
      </c>
      <c r="E53">
        <v>1</v>
      </c>
      <c r="F53">
        <v>2</v>
      </c>
      <c r="G53">
        <v>5</v>
      </c>
      <c r="H53">
        <v>4</v>
      </c>
      <c r="I53">
        <v>0</v>
      </c>
      <c r="J53">
        <v>50373</v>
      </c>
      <c r="K53">
        <v>0</v>
      </c>
      <c r="L53">
        <v>19</v>
      </c>
      <c r="M53" t="s">
        <v>39</v>
      </c>
      <c r="N53" t="e" vm="1">
        <v>#VALUE!</v>
      </c>
      <c r="O53">
        <v>2134</v>
      </c>
      <c r="P53" t="s">
        <v>297</v>
      </c>
      <c r="Q53" t="s">
        <v>41</v>
      </c>
      <c r="R53">
        <f t="shared" ca="1" si="0"/>
        <v>35</v>
      </c>
      <c r="S53" t="s">
        <v>56</v>
      </c>
      <c r="T53" t="s">
        <v>43</v>
      </c>
      <c r="U53" t="s">
        <v>44</v>
      </c>
      <c r="V53" t="s">
        <v>45</v>
      </c>
      <c r="W53" t="s">
        <v>298</v>
      </c>
      <c r="X53">
        <f t="shared" ca="1" si="2"/>
        <v>2</v>
      </c>
      <c r="Z53" t="str">
        <f t="shared" ca="1" si="1"/>
        <v/>
      </c>
      <c r="AA53" t="s">
        <v>47</v>
      </c>
      <c r="AB53" t="s">
        <v>48</v>
      </c>
      <c r="AC53" t="s">
        <v>108</v>
      </c>
      <c r="AD53">
        <v>12</v>
      </c>
      <c r="AE53" t="s">
        <v>102</v>
      </c>
      <c r="AF53" t="s">
        <v>51</v>
      </c>
      <c r="AG53">
        <v>4.0999999999999996</v>
      </c>
      <c r="AH53">
        <v>4</v>
      </c>
      <c r="AI53">
        <v>0</v>
      </c>
      <c r="AJ53" t="s">
        <v>299</v>
      </c>
      <c r="AK53">
        <v>0</v>
      </c>
      <c r="AL53">
        <v>5</v>
      </c>
    </row>
    <row r="54" spans="1:38" x14ac:dyDescent="0.25">
      <c r="A54" t="s">
        <v>300</v>
      </c>
      <c r="B54">
        <v>10261</v>
      </c>
      <c r="C54">
        <v>0</v>
      </c>
      <c r="D54">
        <v>0</v>
      </c>
      <c r="E54">
        <v>1</v>
      </c>
      <c r="F54">
        <v>1</v>
      </c>
      <c r="G54">
        <v>5</v>
      </c>
      <c r="H54">
        <v>3</v>
      </c>
      <c r="I54">
        <v>0</v>
      </c>
      <c r="J54">
        <v>63108</v>
      </c>
      <c r="K54">
        <v>0</v>
      </c>
      <c r="L54">
        <v>19</v>
      </c>
      <c r="M54" t="s">
        <v>39</v>
      </c>
      <c r="N54" t="e" vm="1">
        <v>#VALUE!</v>
      </c>
      <c r="O54">
        <v>2452</v>
      </c>
      <c r="P54" t="s">
        <v>301</v>
      </c>
      <c r="Q54" t="s">
        <v>41</v>
      </c>
      <c r="R54">
        <f t="shared" ca="1" si="0"/>
        <v>42</v>
      </c>
      <c r="S54" t="s">
        <v>42</v>
      </c>
      <c r="T54" t="s">
        <v>43</v>
      </c>
      <c r="U54" t="s">
        <v>44</v>
      </c>
      <c r="V54" t="s">
        <v>45</v>
      </c>
      <c r="W54" t="s">
        <v>166</v>
      </c>
      <c r="X54">
        <f t="shared" ca="1" si="2"/>
        <v>5</v>
      </c>
      <c r="Z54" t="str">
        <f t="shared" ca="1" si="1"/>
        <v/>
      </c>
      <c r="AA54" t="s">
        <v>47</v>
      </c>
      <c r="AB54" t="s">
        <v>48</v>
      </c>
      <c r="AC54" t="s">
        <v>122</v>
      </c>
      <c r="AD54">
        <v>14</v>
      </c>
      <c r="AE54" t="s">
        <v>102</v>
      </c>
      <c r="AF54" t="s">
        <v>63</v>
      </c>
      <c r="AG54">
        <v>4.4000000000000004</v>
      </c>
      <c r="AH54">
        <v>5</v>
      </c>
      <c r="AI54">
        <v>0</v>
      </c>
      <c r="AJ54" t="s">
        <v>152</v>
      </c>
      <c r="AK54">
        <v>0</v>
      </c>
      <c r="AL54">
        <v>3</v>
      </c>
    </row>
    <row r="55" spans="1:38" x14ac:dyDescent="0.25">
      <c r="A55" t="s">
        <v>302</v>
      </c>
      <c r="B55">
        <v>10292</v>
      </c>
      <c r="C55">
        <v>0</v>
      </c>
      <c r="D55">
        <v>0</v>
      </c>
      <c r="E55">
        <v>1</v>
      </c>
      <c r="F55">
        <v>4</v>
      </c>
      <c r="G55">
        <v>5</v>
      </c>
      <c r="H55">
        <v>2</v>
      </c>
      <c r="I55">
        <v>0</v>
      </c>
      <c r="J55">
        <v>59144</v>
      </c>
      <c r="K55">
        <v>1</v>
      </c>
      <c r="L55">
        <v>19</v>
      </c>
      <c r="M55" t="s">
        <v>39</v>
      </c>
      <c r="N55" t="e" vm="1">
        <v>#VALUE!</v>
      </c>
      <c r="O55">
        <v>1880</v>
      </c>
      <c r="P55" t="s">
        <v>303</v>
      </c>
      <c r="Q55" t="s">
        <v>41</v>
      </c>
      <c r="R55">
        <f t="shared" ca="1" si="0"/>
        <v>37</v>
      </c>
      <c r="S55" t="s">
        <v>42</v>
      </c>
      <c r="T55" t="s">
        <v>43</v>
      </c>
      <c r="U55" t="s">
        <v>44</v>
      </c>
      <c r="V55" t="s">
        <v>106</v>
      </c>
      <c r="W55" t="s">
        <v>80</v>
      </c>
      <c r="X55">
        <f t="shared" ca="1" si="2"/>
        <v>7</v>
      </c>
      <c r="Y55" t="s">
        <v>304</v>
      </c>
      <c r="Z55">
        <f t="shared" ca="1" si="1"/>
        <v>478</v>
      </c>
      <c r="AA55" t="s">
        <v>59</v>
      </c>
      <c r="AB55" t="s">
        <v>48</v>
      </c>
      <c r="AC55" t="s">
        <v>70</v>
      </c>
      <c r="AD55">
        <v>20</v>
      </c>
      <c r="AE55" t="s">
        <v>50</v>
      </c>
      <c r="AF55" t="s">
        <v>180</v>
      </c>
      <c r="AG55">
        <v>2</v>
      </c>
      <c r="AH55">
        <v>3</v>
      </c>
      <c r="AI55">
        <v>0</v>
      </c>
      <c r="AJ55" t="s">
        <v>305</v>
      </c>
      <c r="AK55">
        <v>5</v>
      </c>
      <c r="AL55">
        <v>16</v>
      </c>
    </row>
    <row r="56" spans="1:38" x14ac:dyDescent="0.25">
      <c r="A56" t="s">
        <v>306</v>
      </c>
      <c r="B56">
        <v>10282</v>
      </c>
      <c r="C56">
        <v>0</v>
      </c>
      <c r="D56">
        <v>2</v>
      </c>
      <c r="E56">
        <v>1</v>
      </c>
      <c r="F56">
        <v>1</v>
      </c>
      <c r="G56">
        <v>5</v>
      </c>
      <c r="H56">
        <v>2</v>
      </c>
      <c r="I56">
        <v>0</v>
      </c>
      <c r="J56">
        <v>68051</v>
      </c>
      <c r="K56">
        <v>0</v>
      </c>
      <c r="L56">
        <v>18</v>
      </c>
      <c r="M56" t="s">
        <v>198</v>
      </c>
      <c r="N56" t="e" vm="1">
        <v>#VALUE!</v>
      </c>
      <c r="O56">
        <v>1803</v>
      </c>
      <c r="P56" t="s">
        <v>307</v>
      </c>
      <c r="Q56" t="s">
        <v>41</v>
      </c>
      <c r="R56">
        <f t="shared" ca="1" si="0"/>
        <v>46</v>
      </c>
      <c r="S56" t="s">
        <v>79</v>
      </c>
      <c r="T56" t="s">
        <v>43</v>
      </c>
      <c r="U56" t="s">
        <v>44</v>
      </c>
      <c r="V56" t="s">
        <v>45</v>
      </c>
      <c r="W56" t="s">
        <v>308</v>
      </c>
      <c r="X56">
        <f t="shared" ca="1" si="2"/>
        <v>8</v>
      </c>
      <c r="Z56" t="str">
        <f t="shared" ca="1" si="1"/>
        <v/>
      </c>
      <c r="AA56" t="s">
        <v>47</v>
      </c>
      <c r="AB56" t="s">
        <v>48</v>
      </c>
      <c r="AC56" t="s">
        <v>201</v>
      </c>
      <c r="AD56">
        <v>2</v>
      </c>
      <c r="AE56" t="s">
        <v>179</v>
      </c>
      <c r="AF56" t="s">
        <v>180</v>
      </c>
      <c r="AG56">
        <v>4.13</v>
      </c>
      <c r="AH56">
        <v>2</v>
      </c>
      <c r="AI56">
        <v>0</v>
      </c>
      <c r="AJ56" t="s">
        <v>152</v>
      </c>
      <c r="AK56">
        <v>3</v>
      </c>
      <c r="AL56">
        <v>3</v>
      </c>
    </row>
    <row r="57" spans="1:38" x14ac:dyDescent="0.25">
      <c r="A57" t="s">
        <v>309</v>
      </c>
      <c r="B57">
        <v>10019</v>
      </c>
      <c r="C57">
        <v>0</v>
      </c>
      <c r="D57">
        <v>0</v>
      </c>
      <c r="E57">
        <v>1</v>
      </c>
      <c r="F57">
        <v>1</v>
      </c>
      <c r="G57">
        <v>5</v>
      </c>
      <c r="H57">
        <v>4</v>
      </c>
      <c r="I57">
        <v>0</v>
      </c>
      <c r="J57">
        <v>170500</v>
      </c>
      <c r="K57">
        <v>0</v>
      </c>
      <c r="L57">
        <v>10</v>
      </c>
      <c r="M57" t="s">
        <v>310</v>
      </c>
      <c r="N57" t="e" vm="1">
        <v>#VALUE!</v>
      </c>
      <c r="O57">
        <v>2030</v>
      </c>
      <c r="P57" t="s">
        <v>311</v>
      </c>
      <c r="Q57" t="s">
        <v>41</v>
      </c>
      <c r="R57">
        <f t="shared" ca="1" si="0"/>
        <v>41</v>
      </c>
      <c r="S57" t="s">
        <v>42</v>
      </c>
      <c r="T57" t="s">
        <v>43</v>
      </c>
      <c r="U57" t="s">
        <v>44</v>
      </c>
      <c r="V57" t="s">
        <v>106</v>
      </c>
      <c r="W57" t="s">
        <v>312</v>
      </c>
      <c r="X57">
        <f t="shared" ca="1" si="2"/>
        <v>10</v>
      </c>
      <c r="Z57" t="str">
        <f t="shared" ca="1" si="1"/>
        <v/>
      </c>
      <c r="AA57" t="s">
        <v>47</v>
      </c>
      <c r="AB57" t="s">
        <v>48</v>
      </c>
      <c r="AC57" t="s">
        <v>201</v>
      </c>
      <c r="AD57">
        <v>2</v>
      </c>
      <c r="AE57" t="s">
        <v>62</v>
      </c>
      <c r="AF57" t="s">
        <v>51</v>
      </c>
      <c r="AG57">
        <v>3.7</v>
      </c>
      <c r="AH57">
        <v>5</v>
      </c>
      <c r="AI57">
        <v>0</v>
      </c>
      <c r="AJ57" t="s">
        <v>313</v>
      </c>
      <c r="AK57">
        <v>0</v>
      </c>
      <c r="AL57">
        <v>15</v>
      </c>
    </row>
    <row r="58" spans="1:38" x14ac:dyDescent="0.25">
      <c r="A58" t="s">
        <v>314</v>
      </c>
      <c r="B58">
        <v>10094</v>
      </c>
      <c r="C58">
        <v>1</v>
      </c>
      <c r="D58">
        <v>1</v>
      </c>
      <c r="E58">
        <v>0</v>
      </c>
      <c r="F58">
        <v>1</v>
      </c>
      <c r="G58">
        <v>5</v>
      </c>
      <c r="H58">
        <v>3</v>
      </c>
      <c r="I58">
        <v>0</v>
      </c>
      <c r="J58">
        <v>63381</v>
      </c>
      <c r="K58">
        <v>0</v>
      </c>
      <c r="L58">
        <v>19</v>
      </c>
      <c r="M58" t="s">
        <v>39</v>
      </c>
      <c r="N58" t="e" vm="1">
        <v>#VALUE!</v>
      </c>
      <c r="O58">
        <v>2189</v>
      </c>
      <c r="P58" t="s">
        <v>315</v>
      </c>
      <c r="Q58" t="s">
        <v>68</v>
      </c>
      <c r="R58">
        <f t="shared" ca="1" si="0"/>
        <v>48</v>
      </c>
      <c r="S58" t="s">
        <v>56</v>
      </c>
      <c r="T58" t="s">
        <v>43</v>
      </c>
      <c r="U58" t="s">
        <v>119</v>
      </c>
      <c r="V58" t="s">
        <v>45</v>
      </c>
      <c r="W58" t="s">
        <v>114</v>
      </c>
      <c r="X58">
        <f t="shared" ca="1" si="2"/>
        <v>4</v>
      </c>
      <c r="Z58" t="str">
        <f t="shared" ca="1" si="1"/>
        <v/>
      </c>
      <c r="AA58" t="s">
        <v>47</v>
      </c>
      <c r="AB58" t="s">
        <v>48</v>
      </c>
      <c r="AC58" t="s">
        <v>136</v>
      </c>
      <c r="AD58">
        <v>18</v>
      </c>
      <c r="AE58" t="s">
        <v>62</v>
      </c>
      <c r="AF58" t="s">
        <v>63</v>
      </c>
      <c r="AG58">
        <v>4.7300000000000004</v>
      </c>
      <c r="AH58">
        <v>5</v>
      </c>
      <c r="AI58">
        <v>0</v>
      </c>
      <c r="AJ58" t="s">
        <v>137</v>
      </c>
      <c r="AK58">
        <v>0</v>
      </c>
      <c r="AL58">
        <v>6</v>
      </c>
    </row>
    <row r="59" spans="1:38" x14ac:dyDescent="0.25">
      <c r="A59" t="s">
        <v>316</v>
      </c>
      <c r="B59">
        <v>10193</v>
      </c>
      <c r="C59">
        <v>1</v>
      </c>
      <c r="D59">
        <v>1</v>
      </c>
      <c r="E59">
        <v>1</v>
      </c>
      <c r="F59">
        <v>1</v>
      </c>
      <c r="G59">
        <v>3</v>
      </c>
      <c r="H59">
        <v>3</v>
      </c>
      <c r="I59">
        <v>0</v>
      </c>
      <c r="J59">
        <v>83552</v>
      </c>
      <c r="K59">
        <v>0</v>
      </c>
      <c r="L59">
        <v>9</v>
      </c>
      <c r="M59" t="s">
        <v>130</v>
      </c>
      <c r="N59" t="e" vm="1">
        <v>#VALUE!</v>
      </c>
      <c r="O59">
        <v>1810</v>
      </c>
      <c r="P59" t="s">
        <v>317</v>
      </c>
      <c r="Q59" t="s">
        <v>41</v>
      </c>
      <c r="R59">
        <f t="shared" ca="1" si="0"/>
        <v>35</v>
      </c>
      <c r="S59" t="s">
        <v>56</v>
      </c>
      <c r="T59" t="s">
        <v>43</v>
      </c>
      <c r="U59" t="s">
        <v>44</v>
      </c>
      <c r="V59" t="s">
        <v>45</v>
      </c>
      <c r="W59" t="s">
        <v>57</v>
      </c>
      <c r="X59">
        <f t="shared" ca="1" si="2"/>
        <v>3</v>
      </c>
      <c r="Z59" t="str">
        <f t="shared" ca="1" si="1"/>
        <v/>
      </c>
      <c r="AA59" t="s">
        <v>47</v>
      </c>
      <c r="AB59" t="s">
        <v>60</v>
      </c>
      <c r="AC59" t="s">
        <v>61</v>
      </c>
      <c r="AD59">
        <v>4</v>
      </c>
      <c r="AE59" t="s">
        <v>62</v>
      </c>
      <c r="AF59" t="s">
        <v>63</v>
      </c>
      <c r="AG59">
        <v>3.04</v>
      </c>
      <c r="AH59">
        <v>3</v>
      </c>
      <c r="AI59">
        <v>6</v>
      </c>
      <c r="AJ59" t="s">
        <v>318</v>
      </c>
      <c r="AK59">
        <v>0</v>
      </c>
      <c r="AL59">
        <v>2</v>
      </c>
    </row>
    <row r="60" spans="1:38" x14ac:dyDescent="0.25">
      <c r="A60" t="s">
        <v>319</v>
      </c>
      <c r="B60">
        <v>10132</v>
      </c>
      <c r="C60">
        <v>0</v>
      </c>
      <c r="D60">
        <v>0</v>
      </c>
      <c r="E60">
        <v>0</v>
      </c>
      <c r="F60">
        <v>2</v>
      </c>
      <c r="G60">
        <v>5</v>
      </c>
      <c r="H60">
        <v>3</v>
      </c>
      <c r="I60">
        <v>0</v>
      </c>
      <c r="J60">
        <v>56149</v>
      </c>
      <c r="K60">
        <v>0</v>
      </c>
      <c r="L60">
        <v>19</v>
      </c>
      <c r="M60" t="s">
        <v>39</v>
      </c>
      <c r="N60" t="e" vm="1">
        <v>#VALUE!</v>
      </c>
      <c r="O60">
        <v>1821</v>
      </c>
      <c r="P60" t="s">
        <v>320</v>
      </c>
      <c r="Q60" t="s">
        <v>68</v>
      </c>
      <c r="R60">
        <f t="shared" ca="1" si="0"/>
        <v>34</v>
      </c>
      <c r="S60" t="s">
        <v>42</v>
      </c>
      <c r="T60" t="s">
        <v>43</v>
      </c>
      <c r="U60" t="s">
        <v>44</v>
      </c>
      <c r="V60" t="s">
        <v>45</v>
      </c>
      <c r="W60" t="s">
        <v>298</v>
      </c>
      <c r="X60">
        <f t="shared" ca="1" si="2"/>
        <v>2</v>
      </c>
      <c r="Z60" t="str">
        <f t="shared" ca="1" si="1"/>
        <v/>
      </c>
      <c r="AA60" t="s">
        <v>47</v>
      </c>
      <c r="AB60" t="s">
        <v>48</v>
      </c>
      <c r="AC60" t="s">
        <v>49</v>
      </c>
      <c r="AD60">
        <v>22</v>
      </c>
      <c r="AE60" t="s">
        <v>50</v>
      </c>
      <c r="AF60" t="s">
        <v>63</v>
      </c>
      <c r="AG60">
        <v>4.12</v>
      </c>
      <c r="AH60">
        <v>5</v>
      </c>
      <c r="AI60">
        <v>0</v>
      </c>
      <c r="AJ60" t="s">
        <v>321</v>
      </c>
      <c r="AK60">
        <v>0</v>
      </c>
      <c r="AL60">
        <v>15</v>
      </c>
    </row>
    <row r="61" spans="1:38" x14ac:dyDescent="0.25">
      <c r="A61" t="s">
        <v>322</v>
      </c>
      <c r="B61">
        <v>10083</v>
      </c>
      <c r="C61">
        <v>0</v>
      </c>
      <c r="D61">
        <v>0</v>
      </c>
      <c r="E61">
        <v>1</v>
      </c>
      <c r="F61">
        <v>1</v>
      </c>
      <c r="G61">
        <v>3</v>
      </c>
      <c r="H61">
        <v>3</v>
      </c>
      <c r="I61">
        <v>0</v>
      </c>
      <c r="J61">
        <v>92329</v>
      </c>
      <c r="K61">
        <v>0</v>
      </c>
      <c r="L61">
        <v>28</v>
      </c>
      <c r="M61" t="s">
        <v>323</v>
      </c>
      <c r="N61" t="e" vm="3">
        <v>#VALUE!</v>
      </c>
      <c r="O61">
        <v>6278</v>
      </c>
      <c r="P61" t="s">
        <v>324</v>
      </c>
      <c r="Q61" t="s">
        <v>41</v>
      </c>
      <c r="R61">
        <f t="shared" ca="1" si="0"/>
        <v>58</v>
      </c>
      <c r="S61" t="s">
        <v>42</v>
      </c>
      <c r="T61" t="s">
        <v>43</v>
      </c>
      <c r="U61" t="s">
        <v>44</v>
      </c>
      <c r="V61" t="s">
        <v>45</v>
      </c>
      <c r="W61" t="s">
        <v>93</v>
      </c>
      <c r="X61">
        <f t="shared" ca="1" si="2"/>
        <v>4</v>
      </c>
      <c r="Z61" t="str">
        <f t="shared" ca="1" si="1"/>
        <v/>
      </c>
      <c r="AA61" t="s">
        <v>47</v>
      </c>
      <c r="AB61" t="s">
        <v>60</v>
      </c>
      <c r="AC61" t="s">
        <v>115</v>
      </c>
      <c r="AD61">
        <v>7</v>
      </c>
      <c r="AE61" t="s">
        <v>102</v>
      </c>
      <c r="AF61" t="s">
        <v>63</v>
      </c>
      <c r="AG61">
        <v>5</v>
      </c>
      <c r="AH61">
        <v>3</v>
      </c>
      <c r="AI61">
        <v>4</v>
      </c>
      <c r="AJ61" t="s">
        <v>96</v>
      </c>
      <c r="AK61">
        <v>0</v>
      </c>
      <c r="AL61">
        <v>5</v>
      </c>
    </row>
    <row r="62" spans="1:38" x14ac:dyDescent="0.25">
      <c r="A62" t="s">
        <v>325</v>
      </c>
      <c r="B62">
        <v>10099</v>
      </c>
      <c r="C62">
        <v>0</v>
      </c>
      <c r="D62">
        <v>0</v>
      </c>
      <c r="E62">
        <v>0</v>
      </c>
      <c r="F62">
        <v>1</v>
      </c>
      <c r="G62">
        <v>6</v>
      </c>
      <c r="H62">
        <v>3</v>
      </c>
      <c r="I62">
        <v>0</v>
      </c>
      <c r="J62">
        <v>65729</v>
      </c>
      <c r="K62">
        <v>0</v>
      </c>
      <c r="L62">
        <v>21</v>
      </c>
      <c r="M62" t="s">
        <v>326</v>
      </c>
      <c r="N62" t="e" vm="5">
        <v>#VALUE!</v>
      </c>
      <c r="O62">
        <v>5473</v>
      </c>
      <c r="P62" t="s">
        <v>327</v>
      </c>
      <c r="Q62" t="s">
        <v>68</v>
      </c>
      <c r="R62">
        <f t="shared" ca="1" si="0"/>
        <v>32</v>
      </c>
      <c r="S62" t="s">
        <v>42</v>
      </c>
      <c r="T62" t="s">
        <v>43</v>
      </c>
      <c r="U62" t="s">
        <v>44</v>
      </c>
      <c r="V62" t="s">
        <v>45</v>
      </c>
      <c r="W62" t="s">
        <v>328</v>
      </c>
      <c r="X62">
        <f t="shared" ca="1" si="2"/>
        <v>4</v>
      </c>
      <c r="Z62" t="str">
        <f t="shared" ca="1" si="1"/>
        <v/>
      </c>
      <c r="AA62" t="s">
        <v>47</v>
      </c>
      <c r="AB62" t="s">
        <v>226</v>
      </c>
      <c r="AC62" t="s">
        <v>329</v>
      </c>
      <c r="AD62">
        <v>15</v>
      </c>
      <c r="AE62" t="s">
        <v>62</v>
      </c>
      <c r="AF62" t="s">
        <v>63</v>
      </c>
      <c r="AG62">
        <v>4.62</v>
      </c>
      <c r="AH62">
        <v>4</v>
      </c>
      <c r="AI62">
        <v>0</v>
      </c>
      <c r="AJ62" t="s">
        <v>330</v>
      </c>
      <c r="AK62">
        <v>0</v>
      </c>
      <c r="AL62">
        <v>8</v>
      </c>
    </row>
    <row r="63" spans="1:38" x14ac:dyDescent="0.25">
      <c r="A63" t="s">
        <v>331</v>
      </c>
      <c r="B63">
        <v>10212</v>
      </c>
      <c r="C63">
        <v>1</v>
      </c>
      <c r="D63">
        <v>1</v>
      </c>
      <c r="E63">
        <v>0</v>
      </c>
      <c r="F63">
        <v>3</v>
      </c>
      <c r="G63">
        <v>3</v>
      </c>
      <c r="H63">
        <v>3</v>
      </c>
      <c r="I63">
        <v>0</v>
      </c>
      <c r="J63">
        <v>85028</v>
      </c>
      <c r="K63">
        <v>0</v>
      </c>
      <c r="L63">
        <v>28</v>
      </c>
      <c r="M63" t="s">
        <v>323</v>
      </c>
      <c r="N63" t="e" vm="3">
        <v>#VALUE!</v>
      </c>
      <c r="O63">
        <v>6033</v>
      </c>
      <c r="P63" t="s">
        <v>332</v>
      </c>
      <c r="Q63" t="s">
        <v>68</v>
      </c>
      <c r="R63">
        <f t="shared" ca="1" si="0"/>
        <v>72</v>
      </c>
      <c r="S63" t="s">
        <v>56</v>
      </c>
      <c r="T63" t="s">
        <v>43</v>
      </c>
      <c r="U63" t="s">
        <v>44</v>
      </c>
      <c r="V63" t="s">
        <v>45</v>
      </c>
      <c r="W63" t="s">
        <v>93</v>
      </c>
      <c r="X63">
        <f t="shared" ca="1" si="2"/>
        <v>4</v>
      </c>
      <c r="Z63" t="str">
        <f t="shared" ca="1" si="1"/>
        <v/>
      </c>
      <c r="AA63" t="s">
        <v>47</v>
      </c>
      <c r="AB63" t="s">
        <v>60</v>
      </c>
      <c r="AC63" t="s">
        <v>115</v>
      </c>
      <c r="AD63">
        <v>7</v>
      </c>
      <c r="AE63" t="s">
        <v>50</v>
      </c>
      <c r="AF63" t="s">
        <v>63</v>
      </c>
      <c r="AG63">
        <v>3.1</v>
      </c>
      <c r="AH63">
        <v>5</v>
      </c>
      <c r="AI63">
        <v>8</v>
      </c>
      <c r="AJ63" t="s">
        <v>257</v>
      </c>
      <c r="AK63">
        <v>0</v>
      </c>
      <c r="AL63">
        <v>19</v>
      </c>
    </row>
    <row r="64" spans="1:38" x14ac:dyDescent="0.25">
      <c r="A64" t="s">
        <v>333</v>
      </c>
      <c r="B64">
        <v>10056</v>
      </c>
      <c r="C64">
        <v>1</v>
      </c>
      <c r="D64">
        <v>1</v>
      </c>
      <c r="E64">
        <v>0</v>
      </c>
      <c r="F64">
        <v>1</v>
      </c>
      <c r="G64">
        <v>5</v>
      </c>
      <c r="H64">
        <v>3</v>
      </c>
      <c r="I64">
        <v>0</v>
      </c>
      <c r="J64">
        <v>57583</v>
      </c>
      <c r="K64">
        <v>0</v>
      </c>
      <c r="L64">
        <v>19</v>
      </c>
      <c r="M64" t="s">
        <v>39</v>
      </c>
      <c r="N64" t="e" vm="1">
        <v>#VALUE!</v>
      </c>
      <c r="O64">
        <v>2110</v>
      </c>
      <c r="P64" t="s">
        <v>334</v>
      </c>
      <c r="Q64" t="s">
        <v>68</v>
      </c>
      <c r="R64">
        <f t="shared" ca="1" si="0"/>
        <v>40</v>
      </c>
      <c r="S64" t="s">
        <v>56</v>
      </c>
      <c r="T64" t="s">
        <v>43</v>
      </c>
      <c r="U64" t="s">
        <v>44</v>
      </c>
      <c r="V64" t="s">
        <v>45</v>
      </c>
      <c r="W64" t="s">
        <v>335</v>
      </c>
      <c r="X64">
        <f t="shared" ca="1" si="2"/>
        <v>6</v>
      </c>
      <c r="Z64" t="str">
        <f t="shared" ca="1" si="1"/>
        <v/>
      </c>
      <c r="AA64" t="s">
        <v>47</v>
      </c>
      <c r="AB64" t="s">
        <v>48</v>
      </c>
      <c r="AC64" t="s">
        <v>75</v>
      </c>
      <c r="AD64">
        <v>16</v>
      </c>
      <c r="AE64" t="s">
        <v>62</v>
      </c>
      <c r="AF64" t="s">
        <v>63</v>
      </c>
      <c r="AG64">
        <v>5</v>
      </c>
      <c r="AH64">
        <v>3</v>
      </c>
      <c r="AI64">
        <v>0</v>
      </c>
      <c r="AJ64" t="s">
        <v>103</v>
      </c>
      <c r="AK64">
        <v>0</v>
      </c>
      <c r="AL64">
        <v>1</v>
      </c>
    </row>
    <row r="65" spans="1:38" x14ac:dyDescent="0.25">
      <c r="A65" t="s">
        <v>336</v>
      </c>
      <c r="B65">
        <v>10143</v>
      </c>
      <c r="C65">
        <v>0</v>
      </c>
      <c r="D65">
        <v>0</v>
      </c>
      <c r="E65">
        <v>1</v>
      </c>
      <c r="F65">
        <v>1</v>
      </c>
      <c r="G65">
        <v>5</v>
      </c>
      <c r="H65">
        <v>3</v>
      </c>
      <c r="I65">
        <v>0</v>
      </c>
      <c r="J65">
        <v>56294</v>
      </c>
      <c r="K65">
        <v>0</v>
      </c>
      <c r="L65">
        <v>20</v>
      </c>
      <c r="M65" t="s">
        <v>66</v>
      </c>
      <c r="N65" t="e" vm="1">
        <v>#VALUE!</v>
      </c>
      <c r="O65">
        <v>2458</v>
      </c>
      <c r="P65" t="s">
        <v>337</v>
      </c>
      <c r="Q65" t="s">
        <v>41</v>
      </c>
      <c r="R65">
        <f t="shared" ca="1" si="0"/>
        <v>41</v>
      </c>
      <c r="S65" t="s">
        <v>42</v>
      </c>
      <c r="T65" t="s">
        <v>155</v>
      </c>
      <c r="U65" t="s">
        <v>44</v>
      </c>
      <c r="V65" t="s">
        <v>134</v>
      </c>
      <c r="W65" t="s">
        <v>338</v>
      </c>
      <c r="X65">
        <f t="shared" ca="1" si="2"/>
        <v>7</v>
      </c>
      <c r="Z65" t="str">
        <f t="shared" ca="1" si="1"/>
        <v/>
      </c>
      <c r="AA65" t="s">
        <v>47</v>
      </c>
      <c r="AB65" t="s">
        <v>48</v>
      </c>
      <c r="AC65" t="s">
        <v>70</v>
      </c>
      <c r="AD65">
        <v>20</v>
      </c>
      <c r="AE65" t="s">
        <v>50</v>
      </c>
      <c r="AF65" t="s">
        <v>63</v>
      </c>
      <c r="AG65">
        <v>3.96</v>
      </c>
      <c r="AH65">
        <v>4</v>
      </c>
      <c r="AI65">
        <v>0</v>
      </c>
      <c r="AJ65" t="s">
        <v>176</v>
      </c>
      <c r="AK65">
        <v>0</v>
      </c>
      <c r="AL65">
        <v>6</v>
      </c>
    </row>
    <row r="66" spans="1:38" x14ac:dyDescent="0.25">
      <c r="A66" t="s">
        <v>339</v>
      </c>
      <c r="B66">
        <v>10311</v>
      </c>
      <c r="C66">
        <v>1</v>
      </c>
      <c r="D66">
        <v>1</v>
      </c>
      <c r="E66">
        <v>1</v>
      </c>
      <c r="F66">
        <v>1</v>
      </c>
      <c r="G66">
        <v>6</v>
      </c>
      <c r="H66">
        <v>1</v>
      </c>
      <c r="I66">
        <v>0</v>
      </c>
      <c r="J66">
        <v>56991</v>
      </c>
      <c r="K66">
        <v>0</v>
      </c>
      <c r="L66">
        <v>19</v>
      </c>
      <c r="M66" t="s">
        <v>39</v>
      </c>
      <c r="N66" t="e" vm="1">
        <v>#VALUE!</v>
      </c>
      <c r="O66">
        <v>2138</v>
      </c>
      <c r="P66" t="s">
        <v>340</v>
      </c>
      <c r="Q66" t="s">
        <v>41</v>
      </c>
      <c r="R66">
        <f t="shared" ref="R66:R129" ca="1" si="3">DATEDIF(P66, TODAY(), "Y")</f>
        <v>30</v>
      </c>
      <c r="S66" t="s">
        <v>56</v>
      </c>
      <c r="T66" t="s">
        <v>43</v>
      </c>
      <c r="U66" t="s">
        <v>44</v>
      </c>
      <c r="V66" t="s">
        <v>45</v>
      </c>
      <c r="W66" t="s">
        <v>341</v>
      </c>
      <c r="X66">
        <f t="shared" ca="1" si="2"/>
        <v>0</v>
      </c>
      <c r="Z66" t="str">
        <f t="shared" ref="Z66:Z129" ca="1" si="4">IF(Y66="", "", IFERROR( DATEDIF(TODAY(), Y66, "D"), ""))</f>
        <v/>
      </c>
      <c r="AA66" t="s">
        <v>47</v>
      </c>
      <c r="AB66" t="s">
        <v>48</v>
      </c>
      <c r="AC66" t="s">
        <v>108</v>
      </c>
      <c r="AD66">
        <v>12</v>
      </c>
      <c r="AE66" t="s">
        <v>62</v>
      </c>
      <c r="AF66" t="s">
        <v>63</v>
      </c>
      <c r="AG66">
        <v>4.3</v>
      </c>
      <c r="AH66">
        <v>4</v>
      </c>
      <c r="AI66">
        <v>3</v>
      </c>
      <c r="AJ66" t="s">
        <v>342</v>
      </c>
      <c r="AK66">
        <v>2</v>
      </c>
      <c r="AL66">
        <v>2</v>
      </c>
    </row>
    <row r="67" spans="1:38" x14ac:dyDescent="0.25">
      <c r="A67" t="s">
        <v>343</v>
      </c>
      <c r="B67">
        <v>10070</v>
      </c>
      <c r="C67">
        <v>1</v>
      </c>
      <c r="D67">
        <v>1</v>
      </c>
      <c r="E67">
        <v>1</v>
      </c>
      <c r="F67">
        <v>5</v>
      </c>
      <c r="G67">
        <v>5</v>
      </c>
      <c r="H67">
        <v>3</v>
      </c>
      <c r="I67">
        <v>0</v>
      </c>
      <c r="J67">
        <v>55722</v>
      </c>
      <c r="K67">
        <v>1</v>
      </c>
      <c r="L67">
        <v>19</v>
      </c>
      <c r="M67" t="s">
        <v>39</v>
      </c>
      <c r="N67" t="e" vm="1">
        <v>#VALUE!</v>
      </c>
      <c r="O67">
        <v>1810</v>
      </c>
      <c r="P67" t="s">
        <v>344</v>
      </c>
      <c r="Q67" t="s">
        <v>41</v>
      </c>
      <c r="R67">
        <f t="shared" ca="1" si="3"/>
        <v>42</v>
      </c>
      <c r="S67" t="s">
        <v>56</v>
      </c>
      <c r="T67" t="s">
        <v>43</v>
      </c>
      <c r="U67" t="s">
        <v>44</v>
      </c>
      <c r="V67" t="s">
        <v>45</v>
      </c>
      <c r="W67" t="s">
        <v>288</v>
      </c>
      <c r="X67">
        <f t="shared" ref="X67:X130" ca="1" si="5">DATEDIF(W67, TODAY(), "Y")</f>
        <v>7</v>
      </c>
      <c r="Y67" t="s">
        <v>345</v>
      </c>
      <c r="Z67">
        <f t="shared" ca="1" si="4"/>
        <v>18</v>
      </c>
      <c r="AA67" t="s">
        <v>59</v>
      </c>
      <c r="AB67" t="s">
        <v>48</v>
      </c>
      <c r="AC67" t="s">
        <v>82</v>
      </c>
      <c r="AD67">
        <v>39</v>
      </c>
      <c r="AE67" t="s">
        <v>62</v>
      </c>
      <c r="AF67" t="s">
        <v>63</v>
      </c>
      <c r="AG67">
        <v>5</v>
      </c>
      <c r="AH67">
        <v>4</v>
      </c>
      <c r="AI67">
        <v>0</v>
      </c>
      <c r="AJ67" t="s">
        <v>346</v>
      </c>
      <c r="AK67">
        <v>0</v>
      </c>
      <c r="AL67">
        <v>14</v>
      </c>
    </row>
    <row r="68" spans="1:38" x14ac:dyDescent="0.25">
      <c r="A68" t="s">
        <v>347</v>
      </c>
      <c r="B68">
        <v>10155</v>
      </c>
      <c r="C68">
        <v>0</v>
      </c>
      <c r="D68">
        <v>0</v>
      </c>
      <c r="E68">
        <v>0</v>
      </c>
      <c r="F68">
        <v>1</v>
      </c>
      <c r="G68">
        <v>4</v>
      </c>
      <c r="H68">
        <v>3</v>
      </c>
      <c r="I68">
        <v>0</v>
      </c>
      <c r="J68">
        <v>101199</v>
      </c>
      <c r="K68">
        <v>0</v>
      </c>
      <c r="L68">
        <v>24</v>
      </c>
      <c r="M68" t="s">
        <v>91</v>
      </c>
      <c r="N68" t="e" vm="1">
        <v>#VALUE!</v>
      </c>
      <c r="O68">
        <v>2176</v>
      </c>
      <c r="P68" t="s">
        <v>348</v>
      </c>
      <c r="Q68" t="s">
        <v>68</v>
      </c>
      <c r="R68">
        <f t="shared" ca="1" si="3"/>
        <v>44</v>
      </c>
      <c r="S68" t="s">
        <v>42</v>
      </c>
      <c r="T68" t="s">
        <v>43</v>
      </c>
      <c r="U68" t="s">
        <v>44</v>
      </c>
      <c r="V68" t="s">
        <v>106</v>
      </c>
      <c r="W68" t="s">
        <v>87</v>
      </c>
      <c r="X68">
        <f t="shared" ca="1" si="5"/>
        <v>7</v>
      </c>
      <c r="Z68" t="str">
        <f t="shared" ca="1" si="4"/>
        <v/>
      </c>
      <c r="AA68" t="s">
        <v>47</v>
      </c>
      <c r="AB68" t="s">
        <v>94</v>
      </c>
      <c r="AC68" t="s">
        <v>95</v>
      </c>
      <c r="AD68">
        <v>10</v>
      </c>
      <c r="AE68" t="s">
        <v>179</v>
      </c>
      <c r="AF68" t="s">
        <v>63</v>
      </c>
      <c r="AG68">
        <v>3.79</v>
      </c>
      <c r="AH68">
        <v>5</v>
      </c>
      <c r="AI68">
        <v>5</v>
      </c>
      <c r="AJ68" t="s">
        <v>110</v>
      </c>
      <c r="AK68">
        <v>0</v>
      </c>
      <c r="AL68">
        <v>8</v>
      </c>
    </row>
    <row r="69" spans="1:38" x14ac:dyDescent="0.25">
      <c r="A69" t="s">
        <v>349</v>
      </c>
      <c r="B69">
        <v>10306</v>
      </c>
      <c r="C69">
        <v>0</v>
      </c>
      <c r="D69">
        <v>0</v>
      </c>
      <c r="E69">
        <v>1</v>
      </c>
      <c r="F69">
        <v>1</v>
      </c>
      <c r="G69">
        <v>6</v>
      </c>
      <c r="H69">
        <v>1</v>
      </c>
      <c r="I69">
        <v>0</v>
      </c>
      <c r="J69">
        <v>61568</v>
      </c>
      <c r="K69">
        <v>0</v>
      </c>
      <c r="L69">
        <v>3</v>
      </c>
      <c r="M69" t="s">
        <v>222</v>
      </c>
      <c r="N69" t="e" vm="6">
        <v>#VALUE!</v>
      </c>
      <c r="O69">
        <v>36006</v>
      </c>
      <c r="P69" t="s">
        <v>350</v>
      </c>
      <c r="Q69" t="s">
        <v>41</v>
      </c>
      <c r="R69">
        <f t="shared" ca="1" si="3"/>
        <v>44</v>
      </c>
      <c r="S69" t="s">
        <v>42</v>
      </c>
      <c r="T69" t="s">
        <v>43</v>
      </c>
      <c r="U69" t="s">
        <v>44</v>
      </c>
      <c r="V69" t="s">
        <v>134</v>
      </c>
      <c r="W69" t="s">
        <v>214</v>
      </c>
      <c r="X69">
        <f t="shared" ca="1" si="5"/>
        <v>4</v>
      </c>
      <c r="Z69" t="str">
        <f t="shared" ca="1" si="4"/>
        <v/>
      </c>
      <c r="AA69" t="s">
        <v>47</v>
      </c>
      <c r="AB69" t="s">
        <v>226</v>
      </c>
      <c r="AC69" t="s">
        <v>227</v>
      </c>
      <c r="AD69">
        <v>17</v>
      </c>
      <c r="AE69" t="s">
        <v>62</v>
      </c>
      <c r="AF69" t="s">
        <v>351</v>
      </c>
      <c r="AG69">
        <v>1.93</v>
      </c>
      <c r="AH69">
        <v>3</v>
      </c>
      <c r="AI69">
        <v>0</v>
      </c>
      <c r="AJ69" t="s">
        <v>245</v>
      </c>
      <c r="AK69">
        <v>6</v>
      </c>
      <c r="AL69">
        <v>5</v>
      </c>
    </row>
    <row r="70" spans="1:38" x14ac:dyDescent="0.25">
      <c r="A70" t="s">
        <v>352</v>
      </c>
      <c r="B70">
        <v>10100</v>
      </c>
      <c r="C70">
        <v>0</v>
      </c>
      <c r="D70">
        <v>3</v>
      </c>
      <c r="E70">
        <v>0</v>
      </c>
      <c r="F70">
        <v>5</v>
      </c>
      <c r="G70">
        <v>5</v>
      </c>
      <c r="H70">
        <v>3</v>
      </c>
      <c r="I70">
        <v>0</v>
      </c>
      <c r="J70">
        <v>58275</v>
      </c>
      <c r="K70">
        <v>1</v>
      </c>
      <c r="L70">
        <v>20</v>
      </c>
      <c r="M70" t="s">
        <v>66</v>
      </c>
      <c r="N70" t="e" vm="1">
        <v>#VALUE!</v>
      </c>
      <c r="O70">
        <v>2343</v>
      </c>
      <c r="P70" t="s">
        <v>353</v>
      </c>
      <c r="Q70" t="s">
        <v>68</v>
      </c>
      <c r="R70">
        <f t="shared" ca="1" si="3"/>
        <v>69</v>
      </c>
      <c r="S70" t="s">
        <v>218</v>
      </c>
      <c r="T70" t="s">
        <v>43</v>
      </c>
      <c r="U70" t="s">
        <v>44</v>
      </c>
      <c r="V70" t="s">
        <v>106</v>
      </c>
      <c r="W70" t="s">
        <v>156</v>
      </c>
      <c r="X70">
        <f t="shared" ca="1" si="5"/>
        <v>7</v>
      </c>
      <c r="Y70" t="s">
        <v>354</v>
      </c>
      <c r="Z70">
        <f t="shared" ca="1" si="4"/>
        <v>565</v>
      </c>
      <c r="AA70" t="s">
        <v>59</v>
      </c>
      <c r="AB70" t="s">
        <v>48</v>
      </c>
      <c r="AC70" t="s">
        <v>136</v>
      </c>
      <c r="AD70">
        <v>18</v>
      </c>
      <c r="AE70" t="s">
        <v>83</v>
      </c>
      <c r="AF70" t="s">
        <v>63</v>
      </c>
      <c r="AG70">
        <v>4.62</v>
      </c>
      <c r="AH70">
        <v>5</v>
      </c>
      <c r="AI70">
        <v>0</v>
      </c>
      <c r="AJ70" t="s">
        <v>355</v>
      </c>
      <c r="AK70">
        <v>0</v>
      </c>
      <c r="AL70">
        <v>1</v>
      </c>
    </row>
    <row r="71" spans="1:38" x14ac:dyDescent="0.25">
      <c r="A71" t="s">
        <v>356</v>
      </c>
      <c r="B71">
        <v>10310</v>
      </c>
      <c r="C71">
        <v>1</v>
      </c>
      <c r="D71">
        <v>1</v>
      </c>
      <c r="E71">
        <v>1</v>
      </c>
      <c r="F71">
        <v>1</v>
      </c>
      <c r="G71">
        <v>5</v>
      </c>
      <c r="H71">
        <v>1</v>
      </c>
      <c r="I71">
        <v>0</v>
      </c>
      <c r="J71">
        <v>53189</v>
      </c>
      <c r="K71">
        <v>0</v>
      </c>
      <c r="L71">
        <v>19</v>
      </c>
      <c r="M71" t="s">
        <v>39</v>
      </c>
      <c r="N71" t="e" vm="1">
        <v>#VALUE!</v>
      </c>
      <c r="O71">
        <v>2061</v>
      </c>
      <c r="P71" t="s">
        <v>357</v>
      </c>
      <c r="Q71" t="s">
        <v>41</v>
      </c>
      <c r="R71">
        <f t="shared" ca="1" si="3"/>
        <v>55</v>
      </c>
      <c r="S71" t="s">
        <v>56</v>
      </c>
      <c r="T71" t="s">
        <v>43</v>
      </c>
      <c r="U71" t="s">
        <v>44</v>
      </c>
      <c r="V71" t="s">
        <v>45</v>
      </c>
      <c r="W71" t="s">
        <v>160</v>
      </c>
      <c r="X71">
        <f t="shared" ca="1" si="5"/>
        <v>4</v>
      </c>
      <c r="Z71" t="str">
        <f t="shared" ca="1" si="4"/>
        <v/>
      </c>
      <c r="AA71" t="s">
        <v>47</v>
      </c>
      <c r="AB71" t="s">
        <v>48</v>
      </c>
      <c r="AC71" t="s">
        <v>88</v>
      </c>
      <c r="AD71">
        <v>11</v>
      </c>
      <c r="AE71" t="s">
        <v>62</v>
      </c>
      <c r="AF71" t="s">
        <v>351</v>
      </c>
      <c r="AG71">
        <v>1.1200000000000001</v>
      </c>
      <c r="AH71">
        <v>2</v>
      </c>
      <c r="AI71">
        <v>0</v>
      </c>
      <c r="AJ71" t="s">
        <v>342</v>
      </c>
      <c r="AK71">
        <v>4</v>
      </c>
      <c r="AL71">
        <v>9</v>
      </c>
    </row>
    <row r="72" spans="1:38" x14ac:dyDescent="0.25">
      <c r="A72" t="s">
        <v>358</v>
      </c>
      <c r="B72">
        <v>10197</v>
      </c>
      <c r="C72">
        <v>0</v>
      </c>
      <c r="D72">
        <v>0</v>
      </c>
      <c r="E72">
        <v>1</v>
      </c>
      <c r="F72">
        <v>1</v>
      </c>
      <c r="G72">
        <v>3</v>
      </c>
      <c r="H72">
        <v>3</v>
      </c>
      <c r="I72">
        <v>0</v>
      </c>
      <c r="J72">
        <v>96820</v>
      </c>
      <c r="K72">
        <v>0</v>
      </c>
      <c r="L72">
        <v>4</v>
      </c>
      <c r="M72" t="s">
        <v>359</v>
      </c>
      <c r="N72" t="e" vm="1">
        <v>#VALUE!</v>
      </c>
      <c r="O72">
        <v>2045</v>
      </c>
      <c r="P72" t="s">
        <v>360</v>
      </c>
      <c r="Q72" t="s">
        <v>41</v>
      </c>
      <c r="R72">
        <f t="shared" ca="1" si="3"/>
        <v>37</v>
      </c>
      <c r="S72" t="s">
        <v>42</v>
      </c>
      <c r="T72" t="s">
        <v>43</v>
      </c>
      <c r="U72" t="s">
        <v>44</v>
      </c>
      <c r="V72" t="s">
        <v>45</v>
      </c>
      <c r="W72" t="s">
        <v>361</v>
      </c>
      <c r="X72">
        <f t="shared" ca="1" si="5"/>
        <v>2</v>
      </c>
      <c r="Z72" t="str">
        <f t="shared" ca="1" si="4"/>
        <v/>
      </c>
      <c r="AA72" t="s">
        <v>47</v>
      </c>
      <c r="AB72" t="s">
        <v>60</v>
      </c>
      <c r="AC72" t="s">
        <v>362</v>
      </c>
      <c r="AD72">
        <v>13</v>
      </c>
      <c r="AE72" t="s">
        <v>62</v>
      </c>
      <c r="AF72" t="s">
        <v>63</v>
      </c>
      <c r="AG72">
        <v>3.01</v>
      </c>
      <c r="AH72">
        <v>5</v>
      </c>
      <c r="AI72">
        <v>7</v>
      </c>
      <c r="AJ72" t="s">
        <v>363</v>
      </c>
      <c r="AK72">
        <v>0</v>
      </c>
      <c r="AL72">
        <v>15</v>
      </c>
    </row>
    <row r="73" spans="1:38" x14ac:dyDescent="0.25">
      <c r="A73" t="s">
        <v>364</v>
      </c>
      <c r="B73">
        <v>10276</v>
      </c>
      <c r="C73">
        <v>0</v>
      </c>
      <c r="D73">
        <v>0</v>
      </c>
      <c r="E73">
        <v>1</v>
      </c>
      <c r="F73">
        <v>1</v>
      </c>
      <c r="G73">
        <v>5</v>
      </c>
      <c r="H73">
        <v>3</v>
      </c>
      <c r="I73">
        <v>0</v>
      </c>
      <c r="J73">
        <v>51259</v>
      </c>
      <c r="K73">
        <v>0</v>
      </c>
      <c r="L73">
        <v>19</v>
      </c>
      <c r="M73" t="s">
        <v>39</v>
      </c>
      <c r="N73" t="e" vm="1">
        <v>#VALUE!</v>
      </c>
      <c r="O73">
        <v>2180</v>
      </c>
      <c r="P73" t="s">
        <v>365</v>
      </c>
      <c r="Q73" t="s">
        <v>41</v>
      </c>
      <c r="R73">
        <f t="shared" ca="1" si="3"/>
        <v>41</v>
      </c>
      <c r="S73" t="s">
        <v>42</v>
      </c>
      <c r="T73" t="s">
        <v>43</v>
      </c>
      <c r="U73" t="s">
        <v>44</v>
      </c>
      <c r="V73" t="s">
        <v>45</v>
      </c>
      <c r="W73" t="s">
        <v>264</v>
      </c>
      <c r="X73">
        <f t="shared" ca="1" si="5"/>
        <v>4</v>
      </c>
      <c r="Z73" t="str">
        <f t="shared" ca="1" si="4"/>
        <v/>
      </c>
      <c r="AA73" t="s">
        <v>47</v>
      </c>
      <c r="AB73" t="s">
        <v>48</v>
      </c>
      <c r="AC73" t="s">
        <v>101</v>
      </c>
      <c r="AD73">
        <v>19</v>
      </c>
      <c r="AE73" t="s">
        <v>62</v>
      </c>
      <c r="AF73" t="s">
        <v>63</v>
      </c>
      <c r="AG73">
        <v>4.3</v>
      </c>
      <c r="AH73">
        <v>4</v>
      </c>
      <c r="AI73">
        <v>0</v>
      </c>
      <c r="AJ73" t="s">
        <v>265</v>
      </c>
      <c r="AK73">
        <v>0</v>
      </c>
      <c r="AL73">
        <v>1</v>
      </c>
    </row>
    <row r="74" spans="1:38" x14ac:dyDescent="0.25">
      <c r="A74" t="s">
        <v>366</v>
      </c>
      <c r="B74">
        <v>10304</v>
      </c>
      <c r="C74">
        <v>0</v>
      </c>
      <c r="D74">
        <v>0</v>
      </c>
      <c r="E74">
        <v>0</v>
      </c>
      <c r="F74">
        <v>1</v>
      </c>
      <c r="G74">
        <v>6</v>
      </c>
      <c r="H74">
        <v>1</v>
      </c>
      <c r="I74">
        <v>0</v>
      </c>
      <c r="J74">
        <v>59231</v>
      </c>
      <c r="K74">
        <v>0</v>
      </c>
      <c r="L74">
        <v>3</v>
      </c>
      <c r="M74" t="s">
        <v>222</v>
      </c>
      <c r="N74" t="e" vm="7">
        <v>#VALUE!</v>
      </c>
      <c r="O74">
        <v>98052</v>
      </c>
      <c r="P74" t="s">
        <v>367</v>
      </c>
      <c r="Q74" t="s">
        <v>68</v>
      </c>
      <c r="R74">
        <f t="shared" ca="1" si="3"/>
        <v>29</v>
      </c>
      <c r="S74" t="s">
        <v>42</v>
      </c>
      <c r="T74" t="s">
        <v>43</v>
      </c>
      <c r="U74" t="s">
        <v>119</v>
      </c>
      <c r="V74" t="s">
        <v>45</v>
      </c>
      <c r="W74" t="s">
        <v>135</v>
      </c>
      <c r="X74">
        <f t="shared" ca="1" si="5"/>
        <v>6</v>
      </c>
      <c r="Z74" t="str">
        <f t="shared" ca="1" si="4"/>
        <v/>
      </c>
      <c r="AA74" t="s">
        <v>47</v>
      </c>
      <c r="AB74" t="s">
        <v>226</v>
      </c>
      <c r="AC74" t="s">
        <v>227</v>
      </c>
      <c r="AD74">
        <v>17</v>
      </c>
      <c r="AE74" t="s">
        <v>368</v>
      </c>
      <c r="AF74" t="s">
        <v>351</v>
      </c>
      <c r="AG74">
        <v>2.2999999999999998</v>
      </c>
      <c r="AH74">
        <v>1</v>
      </c>
      <c r="AI74">
        <v>0</v>
      </c>
      <c r="AJ74" t="s">
        <v>369</v>
      </c>
      <c r="AK74">
        <v>2</v>
      </c>
      <c r="AL74">
        <v>17</v>
      </c>
    </row>
    <row r="75" spans="1:38" x14ac:dyDescent="0.25">
      <c r="A75" t="s">
        <v>370</v>
      </c>
      <c r="B75">
        <v>10284</v>
      </c>
      <c r="C75">
        <v>1</v>
      </c>
      <c r="D75">
        <v>1</v>
      </c>
      <c r="E75">
        <v>0</v>
      </c>
      <c r="F75">
        <v>1</v>
      </c>
      <c r="G75">
        <v>5</v>
      </c>
      <c r="H75">
        <v>2</v>
      </c>
      <c r="I75">
        <v>0</v>
      </c>
      <c r="J75">
        <v>61584</v>
      </c>
      <c r="K75">
        <v>0</v>
      </c>
      <c r="L75">
        <v>19</v>
      </c>
      <c r="M75" t="s">
        <v>39</v>
      </c>
      <c r="N75" t="e" vm="1">
        <v>#VALUE!</v>
      </c>
      <c r="O75">
        <v>2351</v>
      </c>
      <c r="P75" t="s">
        <v>371</v>
      </c>
      <c r="Q75" t="s">
        <v>68</v>
      </c>
      <c r="R75">
        <f t="shared" ca="1" si="3"/>
        <v>44</v>
      </c>
      <c r="S75" t="s">
        <v>56</v>
      </c>
      <c r="T75" t="s">
        <v>43</v>
      </c>
      <c r="U75" t="s">
        <v>44</v>
      </c>
      <c r="V75" t="s">
        <v>106</v>
      </c>
      <c r="W75" t="s">
        <v>372</v>
      </c>
      <c r="X75">
        <f t="shared" ca="1" si="5"/>
        <v>6</v>
      </c>
      <c r="Z75" t="str">
        <f t="shared" ca="1" si="4"/>
        <v/>
      </c>
      <c r="AA75" t="s">
        <v>47</v>
      </c>
      <c r="AB75" t="s">
        <v>48</v>
      </c>
      <c r="AC75" t="s">
        <v>108</v>
      </c>
      <c r="AD75">
        <v>12</v>
      </c>
      <c r="AE75" t="s">
        <v>62</v>
      </c>
      <c r="AF75" t="s">
        <v>180</v>
      </c>
      <c r="AG75">
        <v>3.88</v>
      </c>
      <c r="AH75">
        <v>4</v>
      </c>
      <c r="AI75">
        <v>0</v>
      </c>
      <c r="AJ75" t="s">
        <v>373</v>
      </c>
      <c r="AK75">
        <v>0</v>
      </c>
      <c r="AL75">
        <v>6</v>
      </c>
    </row>
    <row r="76" spans="1:38" x14ac:dyDescent="0.25">
      <c r="A76" t="s">
        <v>374</v>
      </c>
      <c r="B76">
        <v>10207</v>
      </c>
      <c r="C76">
        <v>0</v>
      </c>
      <c r="D76">
        <v>0</v>
      </c>
      <c r="E76">
        <v>0</v>
      </c>
      <c r="F76">
        <v>1</v>
      </c>
      <c r="G76">
        <v>5</v>
      </c>
      <c r="H76">
        <v>3</v>
      </c>
      <c r="I76">
        <v>0</v>
      </c>
      <c r="J76">
        <v>46335</v>
      </c>
      <c r="K76">
        <v>0</v>
      </c>
      <c r="L76">
        <v>19</v>
      </c>
      <c r="M76" t="s">
        <v>39</v>
      </c>
      <c r="N76" t="e" vm="1">
        <v>#VALUE!</v>
      </c>
      <c r="O76">
        <v>2125</v>
      </c>
      <c r="P76" t="s">
        <v>375</v>
      </c>
      <c r="Q76" t="s">
        <v>68</v>
      </c>
      <c r="R76">
        <f t="shared" ca="1" si="3"/>
        <v>30</v>
      </c>
      <c r="S76" t="s">
        <v>42</v>
      </c>
      <c r="T76" t="s">
        <v>43</v>
      </c>
      <c r="U76" t="s">
        <v>119</v>
      </c>
      <c r="V76" t="s">
        <v>45</v>
      </c>
      <c r="W76" t="s">
        <v>126</v>
      </c>
      <c r="X76">
        <f t="shared" ca="1" si="5"/>
        <v>6</v>
      </c>
      <c r="Z76" t="str">
        <f t="shared" ca="1" si="4"/>
        <v/>
      </c>
      <c r="AA76" t="s">
        <v>47</v>
      </c>
      <c r="AB76" t="s">
        <v>48</v>
      </c>
      <c r="AC76" t="s">
        <v>122</v>
      </c>
      <c r="AD76">
        <v>14</v>
      </c>
      <c r="AE76" t="s">
        <v>179</v>
      </c>
      <c r="AF76" t="s">
        <v>63</v>
      </c>
      <c r="AG76">
        <v>3.4</v>
      </c>
      <c r="AH76">
        <v>5</v>
      </c>
      <c r="AI76">
        <v>0</v>
      </c>
      <c r="AJ76" t="s">
        <v>265</v>
      </c>
      <c r="AK76">
        <v>0</v>
      </c>
      <c r="AL76">
        <v>15</v>
      </c>
    </row>
    <row r="77" spans="1:38" x14ac:dyDescent="0.25">
      <c r="A77" t="s">
        <v>376</v>
      </c>
      <c r="B77">
        <v>10133</v>
      </c>
      <c r="C77">
        <v>1</v>
      </c>
      <c r="D77">
        <v>1</v>
      </c>
      <c r="E77">
        <v>0</v>
      </c>
      <c r="F77">
        <v>1</v>
      </c>
      <c r="G77">
        <v>3</v>
      </c>
      <c r="H77">
        <v>3</v>
      </c>
      <c r="I77">
        <v>0</v>
      </c>
      <c r="J77">
        <v>70621</v>
      </c>
      <c r="K77">
        <v>0</v>
      </c>
      <c r="L77">
        <v>14</v>
      </c>
      <c r="M77" t="s">
        <v>112</v>
      </c>
      <c r="N77" t="e" vm="1">
        <v>#VALUE!</v>
      </c>
      <c r="O77">
        <v>2119</v>
      </c>
      <c r="P77" t="s">
        <v>377</v>
      </c>
      <c r="Q77" t="s">
        <v>68</v>
      </c>
      <c r="R77">
        <f t="shared" ca="1" si="3"/>
        <v>34</v>
      </c>
      <c r="S77" t="s">
        <v>56</v>
      </c>
      <c r="T77" t="s">
        <v>43</v>
      </c>
      <c r="U77" t="s">
        <v>44</v>
      </c>
      <c r="V77" t="s">
        <v>45</v>
      </c>
      <c r="W77" t="s">
        <v>114</v>
      </c>
      <c r="X77">
        <f t="shared" ca="1" si="5"/>
        <v>4</v>
      </c>
      <c r="Z77" t="str">
        <f t="shared" ca="1" si="4"/>
        <v/>
      </c>
      <c r="AA77" t="s">
        <v>47</v>
      </c>
      <c r="AB77" t="s">
        <v>60</v>
      </c>
      <c r="AC77" t="s">
        <v>115</v>
      </c>
      <c r="AD77">
        <v>7</v>
      </c>
      <c r="AE77" t="s">
        <v>102</v>
      </c>
      <c r="AF77" t="s">
        <v>63</v>
      </c>
      <c r="AG77">
        <v>4.1100000000000003</v>
      </c>
      <c r="AH77">
        <v>4</v>
      </c>
      <c r="AI77">
        <v>6</v>
      </c>
      <c r="AJ77" t="s">
        <v>103</v>
      </c>
      <c r="AK77">
        <v>0</v>
      </c>
      <c r="AL77">
        <v>16</v>
      </c>
    </row>
    <row r="78" spans="1:38" x14ac:dyDescent="0.25">
      <c r="A78" t="s">
        <v>378</v>
      </c>
      <c r="B78">
        <v>10028</v>
      </c>
      <c r="C78">
        <v>0</v>
      </c>
      <c r="D78">
        <v>0</v>
      </c>
      <c r="E78">
        <v>1</v>
      </c>
      <c r="F78">
        <v>1</v>
      </c>
      <c r="G78">
        <v>3</v>
      </c>
      <c r="H78">
        <v>4</v>
      </c>
      <c r="I78">
        <v>0</v>
      </c>
      <c r="J78">
        <v>138888</v>
      </c>
      <c r="K78">
        <v>0</v>
      </c>
      <c r="L78">
        <v>13</v>
      </c>
      <c r="M78" t="s">
        <v>379</v>
      </c>
      <c r="N78" t="e" vm="1">
        <v>#VALUE!</v>
      </c>
      <c r="O78">
        <v>1886</v>
      </c>
      <c r="P78" t="s">
        <v>380</v>
      </c>
      <c r="Q78" t="s">
        <v>41</v>
      </c>
      <c r="R78">
        <f t="shared" ca="1" si="3"/>
        <v>53</v>
      </c>
      <c r="S78" t="s">
        <v>42</v>
      </c>
      <c r="T78" t="s">
        <v>43</v>
      </c>
      <c r="U78" t="s">
        <v>44</v>
      </c>
      <c r="V78" t="s">
        <v>106</v>
      </c>
      <c r="W78" t="s">
        <v>381</v>
      </c>
      <c r="X78">
        <f t="shared" ca="1" si="5"/>
        <v>5</v>
      </c>
      <c r="Z78" t="str">
        <f t="shared" ca="1" si="4"/>
        <v/>
      </c>
      <c r="AA78" t="s">
        <v>47</v>
      </c>
      <c r="AB78" t="s">
        <v>60</v>
      </c>
      <c r="AC78" t="s">
        <v>238</v>
      </c>
      <c r="AD78">
        <v>5</v>
      </c>
      <c r="AE78" t="s">
        <v>62</v>
      </c>
      <c r="AF78" t="s">
        <v>51</v>
      </c>
      <c r="AG78">
        <v>4.3</v>
      </c>
      <c r="AH78">
        <v>5</v>
      </c>
      <c r="AI78">
        <v>5</v>
      </c>
      <c r="AJ78" t="s">
        <v>382</v>
      </c>
      <c r="AK78">
        <v>0</v>
      </c>
      <c r="AL78">
        <v>4</v>
      </c>
    </row>
    <row r="79" spans="1:38" x14ac:dyDescent="0.25">
      <c r="A79" t="s">
        <v>383</v>
      </c>
      <c r="B79">
        <v>10006</v>
      </c>
      <c r="C79">
        <v>0</v>
      </c>
      <c r="D79">
        <v>0</v>
      </c>
      <c r="E79">
        <v>0</v>
      </c>
      <c r="F79">
        <v>1</v>
      </c>
      <c r="G79">
        <v>6</v>
      </c>
      <c r="H79">
        <v>4</v>
      </c>
      <c r="I79">
        <v>0</v>
      </c>
      <c r="J79">
        <v>74241</v>
      </c>
      <c r="K79">
        <v>0</v>
      </c>
      <c r="L79">
        <v>3</v>
      </c>
      <c r="M79" t="s">
        <v>222</v>
      </c>
      <c r="N79" t="e" vm="8">
        <v>#VALUE!</v>
      </c>
      <c r="O79">
        <v>90007</v>
      </c>
      <c r="P79" t="s">
        <v>384</v>
      </c>
      <c r="Q79" t="s">
        <v>68</v>
      </c>
      <c r="R79">
        <f t="shared" ca="1" si="3"/>
        <v>29</v>
      </c>
      <c r="S79" t="s">
        <v>42</v>
      </c>
      <c r="T79" t="s">
        <v>43</v>
      </c>
      <c r="U79" t="s">
        <v>44</v>
      </c>
      <c r="V79" t="s">
        <v>45</v>
      </c>
      <c r="W79" t="s">
        <v>120</v>
      </c>
      <c r="X79">
        <f t="shared" ca="1" si="5"/>
        <v>8</v>
      </c>
      <c r="Z79" t="str">
        <f t="shared" ca="1" si="4"/>
        <v/>
      </c>
      <c r="AA79" t="s">
        <v>47</v>
      </c>
      <c r="AB79" t="s">
        <v>226</v>
      </c>
      <c r="AC79" t="s">
        <v>271</v>
      </c>
      <c r="AD79">
        <v>21</v>
      </c>
      <c r="AE79" t="s">
        <v>62</v>
      </c>
      <c r="AF79" t="s">
        <v>51</v>
      </c>
      <c r="AG79">
        <v>4.7699999999999996</v>
      </c>
      <c r="AH79">
        <v>5</v>
      </c>
      <c r="AI79">
        <v>0</v>
      </c>
      <c r="AJ79" t="s">
        <v>385</v>
      </c>
      <c r="AK79">
        <v>0</v>
      </c>
      <c r="AL79">
        <v>14</v>
      </c>
    </row>
    <row r="80" spans="1:38" x14ac:dyDescent="0.25">
      <c r="A80" t="s">
        <v>386</v>
      </c>
      <c r="B80">
        <v>10105</v>
      </c>
      <c r="C80">
        <v>0</v>
      </c>
      <c r="D80">
        <v>0</v>
      </c>
      <c r="E80">
        <v>0</v>
      </c>
      <c r="F80">
        <v>1</v>
      </c>
      <c r="G80">
        <v>5</v>
      </c>
      <c r="H80">
        <v>3</v>
      </c>
      <c r="I80">
        <v>0</v>
      </c>
      <c r="J80">
        <v>75188</v>
      </c>
      <c r="K80">
        <v>0</v>
      </c>
      <c r="L80">
        <v>18</v>
      </c>
      <c r="M80" t="s">
        <v>198</v>
      </c>
      <c r="N80" t="e" vm="1">
        <v>#VALUE!</v>
      </c>
      <c r="O80">
        <v>1731</v>
      </c>
      <c r="P80" t="s">
        <v>387</v>
      </c>
      <c r="Q80" t="s">
        <v>68</v>
      </c>
      <c r="R80">
        <f t="shared" ca="1" si="3"/>
        <v>45</v>
      </c>
      <c r="S80" t="s">
        <v>42</v>
      </c>
      <c r="T80" t="s">
        <v>43</v>
      </c>
      <c r="U80" t="s">
        <v>44</v>
      </c>
      <c r="V80" t="s">
        <v>45</v>
      </c>
      <c r="W80" t="s">
        <v>388</v>
      </c>
      <c r="X80">
        <f t="shared" ca="1" si="5"/>
        <v>4</v>
      </c>
      <c r="Z80" t="str">
        <f t="shared" ca="1" si="4"/>
        <v/>
      </c>
      <c r="AA80" t="s">
        <v>47</v>
      </c>
      <c r="AB80" t="s">
        <v>48</v>
      </c>
      <c r="AC80" t="s">
        <v>201</v>
      </c>
      <c r="AD80">
        <v>2</v>
      </c>
      <c r="AE80" t="s">
        <v>83</v>
      </c>
      <c r="AF80" t="s">
        <v>63</v>
      </c>
      <c r="AG80">
        <v>4.5199999999999996</v>
      </c>
      <c r="AH80">
        <v>4</v>
      </c>
      <c r="AI80">
        <v>0</v>
      </c>
      <c r="AJ80" t="s">
        <v>211</v>
      </c>
      <c r="AK80">
        <v>0</v>
      </c>
      <c r="AL80">
        <v>4</v>
      </c>
    </row>
    <row r="81" spans="1:38" x14ac:dyDescent="0.25">
      <c r="A81" t="s">
        <v>389</v>
      </c>
      <c r="B81">
        <v>10211</v>
      </c>
      <c r="C81">
        <v>1</v>
      </c>
      <c r="D81">
        <v>1</v>
      </c>
      <c r="E81">
        <v>0</v>
      </c>
      <c r="F81">
        <v>1</v>
      </c>
      <c r="G81">
        <v>5</v>
      </c>
      <c r="H81">
        <v>3</v>
      </c>
      <c r="I81">
        <v>0</v>
      </c>
      <c r="J81">
        <v>62514</v>
      </c>
      <c r="K81">
        <v>0</v>
      </c>
      <c r="L81">
        <v>19</v>
      </c>
      <c r="M81" t="s">
        <v>39</v>
      </c>
      <c r="N81" t="e" vm="1">
        <v>#VALUE!</v>
      </c>
      <c r="O81">
        <v>1749</v>
      </c>
      <c r="P81" t="s">
        <v>390</v>
      </c>
      <c r="Q81" t="s">
        <v>68</v>
      </c>
      <c r="R81">
        <f t="shared" ca="1" si="3"/>
        <v>47</v>
      </c>
      <c r="S81" t="s">
        <v>56</v>
      </c>
      <c r="T81" t="s">
        <v>43</v>
      </c>
      <c r="U81" t="s">
        <v>44</v>
      </c>
      <c r="V81" t="s">
        <v>45</v>
      </c>
      <c r="W81" t="s">
        <v>391</v>
      </c>
      <c r="X81">
        <f t="shared" ca="1" si="5"/>
        <v>8</v>
      </c>
      <c r="Z81" t="str">
        <f t="shared" ca="1" si="4"/>
        <v/>
      </c>
      <c r="AA81" t="s">
        <v>47</v>
      </c>
      <c r="AB81" t="s">
        <v>48</v>
      </c>
      <c r="AC81" t="s">
        <v>101</v>
      </c>
      <c r="AD81">
        <v>19</v>
      </c>
      <c r="AE81" t="s">
        <v>83</v>
      </c>
      <c r="AF81" t="s">
        <v>63</v>
      </c>
      <c r="AG81">
        <v>2.9</v>
      </c>
      <c r="AH81">
        <v>3</v>
      </c>
      <c r="AI81">
        <v>0</v>
      </c>
      <c r="AJ81" t="s">
        <v>220</v>
      </c>
      <c r="AK81">
        <v>0</v>
      </c>
      <c r="AL81">
        <v>6</v>
      </c>
    </row>
    <row r="82" spans="1:38" x14ac:dyDescent="0.25">
      <c r="A82" t="s">
        <v>392</v>
      </c>
      <c r="B82">
        <v>10064</v>
      </c>
      <c r="C82">
        <v>1</v>
      </c>
      <c r="D82">
        <v>1</v>
      </c>
      <c r="E82">
        <v>0</v>
      </c>
      <c r="F82">
        <v>5</v>
      </c>
      <c r="G82">
        <v>5</v>
      </c>
      <c r="H82">
        <v>3</v>
      </c>
      <c r="I82">
        <v>0</v>
      </c>
      <c r="J82">
        <v>60070</v>
      </c>
      <c r="K82">
        <v>1</v>
      </c>
      <c r="L82">
        <v>19</v>
      </c>
      <c r="M82" t="s">
        <v>39</v>
      </c>
      <c r="N82" t="e" vm="1">
        <v>#VALUE!</v>
      </c>
      <c r="O82">
        <v>2343</v>
      </c>
      <c r="P82" t="s">
        <v>393</v>
      </c>
      <c r="Q82" t="s">
        <v>68</v>
      </c>
      <c r="R82">
        <f t="shared" ca="1" si="3"/>
        <v>25</v>
      </c>
      <c r="S82" t="s">
        <v>56</v>
      </c>
      <c r="T82" t="s">
        <v>43</v>
      </c>
      <c r="U82" t="s">
        <v>44</v>
      </c>
      <c r="V82" t="s">
        <v>45</v>
      </c>
      <c r="W82" t="s">
        <v>156</v>
      </c>
      <c r="X82">
        <f t="shared" ca="1" si="5"/>
        <v>7</v>
      </c>
      <c r="Y82" t="s">
        <v>394</v>
      </c>
      <c r="Z82">
        <f t="shared" ca="1" si="4"/>
        <v>428</v>
      </c>
      <c r="AA82" t="s">
        <v>59</v>
      </c>
      <c r="AB82" t="s">
        <v>48</v>
      </c>
      <c r="AC82" t="s">
        <v>70</v>
      </c>
      <c r="AD82">
        <v>20</v>
      </c>
      <c r="AE82" t="s">
        <v>83</v>
      </c>
      <c r="AF82" t="s">
        <v>63</v>
      </c>
      <c r="AG82">
        <v>5</v>
      </c>
      <c r="AH82">
        <v>3</v>
      </c>
      <c r="AI82">
        <v>0</v>
      </c>
      <c r="AJ82" t="s">
        <v>395</v>
      </c>
      <c r="AK82">
        <v>0</v>
      </c>
      <c r="AL82">
        <v>7</v>
      </c>
    </row>
    <row r="83" spans="1:38" x14ac:dyDescent="0.25">
      <c r="A83" t="s">
        <v>396</v>
      </c>
      <c r="B83">
        <v>10247</v>
      </c>
      <c r="C83">
        <v>0</v>
      </c>
      <c r="D83">
        <v>0</v>
      </c>
      <c r="E83">
        <v>1</v>
      </c>
      <c r="F83">
        <v>1</v>
      </c>
      <c r="G83">
        <v>5</v>
      </c>
      <c r="H83">
        <v>3</v>
      </c>
      <c r="I83">
        <v>0</v>
      </c>
      <c r="J83">
        <v>48888</v>
      </c>
      <c r="K83">
        <v>0</v>
      </c>
      <c r="L83">
        <v>19</v>
      </c>
      <c r="M83" t="s">
        <v>39</v>
      </c>
      <c r="N83" t="e" vm="1">
        <v>#VALUE!</v>
      </c>
      <c r="O83">
        <v>2026</v>
      </c>
      <c r="P83" t="s">
        <v>397</v>
      </c>
      <c r="Q83" t="s">
        <v>41</v>
      </c>
      <c r="R83">
        <f t="shared" ca="1" si="3"/>
        <v>48</v>
      </c>
      <c r="S83" t="s">
        <v>42</v>
      </c>
      <c r="T83" t="s">
        <v>43</v>
      </c>
      <c r="U83" t="s">
        <v>44</v>
      </c>
      <c r="V83" t="s">
        <v>45</v>
      </c>
      <c r="W83" t="s">
        <v>93</v>
      </c>
      <c r="X83">
        <f t="shared" ca="1" si="5"/>
        <v>4</v>
      </c>
      <c r="Z83" t="str">
        <f t="shared" ca="1" si="4"/>
        <v/>
      </c>
      <c r="AA83" t="s">
        <v>47</v>
      </c>
      <c r="AB83" t="s">
        <v>48</v>
      </c>
      <c r="AC83" t="s">
        <v>136</v>
      </c>
      <c r="AD83">
        <v>18</v>
      </c>
      <c r="AE83" t="s">
        <v>50</v>
      </c>
      <c r="AF83" t="s">
        <v>63</v>
      </c>
      <c r="AG83">
        <v>4.7</v>
      </c>
      <c r="AH83">
        <v>5</v>
      </c>
      <c r="AI83">
        <v>0</v>
      </c>
      <c r="AJ83" t="s">
        <v>398</v>
      </c>
      <c r="AK83">
        <v>0</v>
      </c>
      <c r="AL83">
        <v>8</v>
      </c>
    </row>
    <row r="84" spans="1:38" x14ac:dyDescent="0.25">
      <c r="A84" t="s">
        <v>399</v>
      </c>
      <c r="B84">
        <v>10235</v>
      </c>
      <c r="C84">
        <v>1</v>
      </c>
      <c r="D84">
        <v>1</v>
      </c>
      <c r="E84">
        <v>1</v>
      </c>
      <c r="F84">
        <v>1</v>
      </c>
      <c r="G84">
        <v>5</v>
      </c>
      <c r="H84">
        <v>3</v>
      </c>
      <c r="I84">
        <v>0</v>
      </c>
      <c r="J84">
        <v>54285</v>
      </c>
      <c r="K84">
        <v>0</v>
      </c>
      <c r="L84">
        <v>19</v>
      </c>
      <c r="M84" t="s">
        <v>39</v>
      </c>
      <c r="N84" t="e" vm="1">
        <v>#VALUE!</v>
      </c>
      <c r="O84">
        <v>2045</v>
      </c>
      <c r="P84" t="s">
        <v>400</v>
      </c>
      <c r="Q84" t="s">
        <v>41</v>
      </c>
      <c r="R84">
        <f t="shared" ca="1" si="3"/>
        <v>41</v>
      </c>
      <c r="S84" t="s">
        <v>56</v>
      </c>
      <c r="T84" t="s">
        <v>43</v>
      </c>
      <c r="U84" t="s">
        <v>44</v>
      </c>
      <c r="V84" t="s">
        <v>45</v>
      </c>
      <c r="W84" t="s">
        <v>248</v>
      </c>
      <c r="X84">
        <f t="shared" ca="1" si="5"/>
        <v>4</v>
      </c>
      <c r="Z84" t="str">
        <f t="shared" ca="1" si="4"/>
        <v/>
      </c>
      <c r="AA84" t="s">
        <v>47</v>
      </c>
      <c r="AB84" t="s">
        <v>48</v>
      </c>
      <c r="AC84" t="s">
        <v>136</v>
      </c>
      <c r="AD84">
        <v>18</v>
      </c>
      <c r="AE84" t="s">
        <v>102</v>
      </c>
      <c r="AF84" t="s">
        <v>63</v>
      </c>
      <c r="AG84">
        <v>4.2</v>
      </c>
      <c r="AH84">
        <v>3</v>
      </c>
      <c r="AI84">
        <v>0</v>
      </c>
      <c r="AJ84" t="s">
        <v>167</v>
      </c>
      <c r="AK84">
        <v>0</v>
      </c>
      <c r="AL84">
        <v>3</v>
      </c>
    </row>
    <row r="85" spans="1:38" x14ac:dyDescent="0.25">
      <c r="A85" t="s">
        <v>401</v>
      </c>
      <c r="B85">
        <v>10299</v>
      </c>
      <c r="C85">
        <v>0</v>
      </c>
      <c r="D85">
        <v>3</v>
      </c>
      <c r="E85">
        <v>0</v>
      </c>
      <c r="F85">
        <v>1</v>
      </c>
      <c r="G85">
        <v>5</v>
      </c>
      <c r="H85">
        <v>1</v>
      </c>
      <c r="I85">
        <v>0</v>
      </c>
      <c r="J85">
        <v>56847</v>
      </c>
      <c r="K85">
        <v>0</v>
      </c>
      <c r="L85">
        <v>20</v>
      </c>
      <c r="M85" t="s">
        <v>66</v>
      </c>
      <c r="N85" t="e" vm="1">
        <v>#VALUE!</v>
      </c>
      <c r="O85">
        <v>2133</v>
      </c>
      <c r="P85" t="s">
        <v>317</v>
      </c>
      <c r="Q85" t="s">
        <v>68</v>
      </c>
      <c r="R85">
        <f t="shared" ca="1" si="3"/>
        <v>35</v>
      </c>
      <c r="S85" t="s">
        <v>218</v>
      </c>
      <c r="T85" t="s">
        <v>43</v>
      </c>
      <c r="U85" t="s">
        <v>44</v>
      </c>
      <c r="V85" t="s">
        <v>45</v>
      </c>
      <c r="W85" t="s">
        <v>160</v>
      </c>
      <c r="X85">
        <f t="shared" ca="1" si="5"/>
        <v>4</v>
      </c>
      <c r="Z85" t="str">
        <f t="shared" ca="1" si="4"/>
        <v/>
      </c>
      <c r="AA85" t="s">
        <v>47</v>
      </c>
      <c r="AB85" t="s">
        <v>48</v>
      </c>
      <c r="AC85" t="s">
        <v>49</v>
      </c>
      <c r="AD85">
        <v>22</v>
      </c>
      <c r="AE85" t="s">
        <v>62</v>
      </c>
      <c r="AF85" t="s">
        <v>351</v>
      </c>
      <c r="AG85">
        <v>3</v>
      </c>
      <c r="AH85">
        <v>1</v>
      </c>
      <c r="AI85">
        <v>0</v>
      </c>
      <c r="AJ85" t="s">
        <v>103</v>
      </c>
      <c r="AK85">
        <v>2</v>
      </c>
      <c r="AL85">
        <v>5</v>
      </c>
    </row>
    <row r="86" spans="1:38" x14ac:dyDescent="0.25">
      <c r="A86" t="s">
        <v>402</v>
      </c>
      <c r="B86">
        <v>10280</v>
      </c>
      <c r="C86">
        <v>0</v>
      </c>
      <c r="D86">
        <v>0</v>
      </c>
      <c r="E86">
        <v>1</v>
      </c>
      <c r="F86">
        <v>4</v>
      </c>
      <c r="G86">
        <v>5</v>
      </c>
      <c r="H86">
        <v>2</v>
      </c>
      <c r="I86">
        <v>0</v>
      </c>
      <c r="J86">
        <v>60340</v>
      </c>
      <c r="K86">
        <v>1</v>
      </c>
      <c r="L86">
        <v>19</v>
      </c>
      <c r="M86" t="s">
        <v>39</v>
      </c>
      <c r="N86" t="e" vm="1">
        <v>#VALUE!</v>
      </c>
      <c r="O86">
        <v>2129</v>
      </c>
      <c r="P86" t="s">
        <v>403</v>
      </c>
      <c r="Q86" t="s">
        <v>41</v>
      </c>
      <c r="R86">
        <f t="shared" ca="1" si="3"/>
        <v>38</v>
      </c>
      <c r="S86" t="s">
        <v>42</v>
      </c>
      <c r="T86" t="s">
        <v>43</v>
      </c>
      <c r="U86" t="s">
        <v>44</v>
      </c>
      <c r="V86" t="s">
        <v>45</v>
      </c>
      <c r="W86" t="s">
        <v>126</v>
      </c>
      <c r="X86">
        <f t="shared" ca="1" si="5"/>
        <v>6</v>
      </c>
      <c r="Y86" t="s">
        <v>81</v>
      </c>
      <c r="Z86">
        <f t="shared" ca="1" si="4"/>
        <v>131</v>
      </c>
      <c r="AA86" t="s">
        <v>59</v>
      </c>
      <c r="AB86" t="s">
        <v>48</v>
      </c>
      <c r="AC86" t="s">
        <v>49</v>
      </c>
      <c r="AD86">
        <v>22</v>
      </c>
      <c r="AE86" t="s">
        <v>83</v>
      </c>
      <c r="AF86" t="s">
        <v>180</v>
      </c>
      <c r="AG86">
        <v>5</v>
      </c>
      <c r="AH86">
        <v>4</v>
      </c>
      <c r="AI86">
        <v>0</v>
      </c>
      <c r="AJ86" t="s">
        <v>404</v>
      </c>
      <c r="AK86">
        <v>5</v>
      </c>
      <c r="AL86">
        <v>16</v>
      </c>
    </row>
    <row r="87" spans="1:38" x14ac:dyDescent="0.25">
      <c r="A87" t="s">
        <v>405</v>
      </c>
      <c r="B87">
        <v>10296</v>
      </c>
      <c r="C87">
        <v>0</v>
      </c>
      <c r="D87">
        <v>0</v>
      </c>
      <c r="E87">
        <v>0</v>
      </c>
      <c r="F87">
        <v>4</v>
      </c>
      <c r="G87">
        <v>5</v>
      </c>
      <c r="H87">
        <v>2</v>
      </c>
      <c r="I87">
        <v>0</v>
      </c>
      <c r="J87">
        <v>59124</v>
      </c>
      <c r="K87">
        <v>1</v>
      </c>
      <c r="L87">
        <v>19</v>
      </c>
      <c r="M87" t="s">
        <v>39</v>
      </c>
      <c r="N87" t="e" vm="1">
        <v>#VALUE!</v>
      </c>
      <c r="O87">
        <v>2458</v>
      </c>
      <c r="P87" t="s">
        <v>406</v>
      </c>
      <c r="Q87" t="s">
        <v>68</v>
      </c>
      <c r="R87">
        <f t="shared" ca="1" si="3"/>
        <v>36</v>
      </c>
      <c r="S87" t="s">
        <v>42</v>
      </c>
      <c r="T87" t="s">
        <v>43</v>
      </c>
      <c r="U87" t="s">
        <v>44</v>
      </c>
      <c r="V87" t="s">
        <v>45</v>
      </c>
      <c r="W87" t="s">
        <v>188</v>
      </c>
      <c r="X87">
        <f t="shared" ca="1" si="5"/>
        <v>4</v>
      </c>
      <c r="Y87" t="s">
        <v>407</v>
      </c>
      <c r="Z87">
        <f t="shared" ca="1" si="4"/>
        <v>358</v>
      </c>
      <c r="AA87" t="s">
        <v>59</v>
      </c>
      <c r="AB87" t="s">
        <v>48</v>
      </c>
      <c r="AC87" t="s">
        <v>75</v>
      </c>
      <c r="AD87">
        <v>16</v>
      </c>
      <c r="AE87" t="s">
        <v>83</v>
      </c>
      <c r="AF87" t="s">
        <v>180</v>
      </c>
      <c r="AG87">
        <v>2.2999999999999998</v>
      </c>
      <c r="AH87">
        <v>3</v>
      </c>
      <c r="AI87">
        <v>0</v>
      </c>
      <c r="AJ87" t="s">
        <v>408</v>
      </c>
      <c r="AK87">
        <v>5</v>
      </c>
      <c r="AL87">
        <v>19</v>
      </c>
    </row>
    <row r="88" spans="1:38" x14ac:dyDescent="0.25">
      <c r="A88" t="s">
        <v>409</v>
      </c>
      <c r="B88">
        <v>10290</v>
      </c>
      <c r="C88">
        <v>1</v>
      </c>
      <c r="D88">
        <v>1</v>
      </c>
      <c r="E88">
        <v>0</v>
      </c>
      <c r="F88">
        <v>4</v>
      </c>
      <c r="G88">
        <v>4</v>
      </c>
      <c r="H88">
        <v>2</v>
      </c>
      <c r="I88">
        <v>0</v>
      </c>
      <c r="J88">
        <v>99280</v>
      </c>
      <c r="K88">
        <v>1</v>
      </c>
      <c r="L88">
        <v>24</v>
      </c>
      <c r="M88" t="s">
        <v>91</v>
      </c>
      <c r="N88" t="e" vm="1">
        <v>#VALUE!</v>
      </c>
      <c r="O88">
        <v>1749</v>
      </c>
      <c r="P88" t="s">
        <v>410</v>
      </c>
      <c r="Q88" t="s">
        <v>68</v>
      </c>
      <c r="R88">
        <f t="shared" ca="1" si="3"/>
        <v>33</v>
      </c>
      <c r="S88" t="s">
        <v>56</v>
      </c>
      <c r="T88" t="s">
        <v>43</v>
      </c>
      <c r="U88" t="s">
        <v>44</v>
      </c>
      <c r="V88" t="s">
        <v>106</v>
      </c>
      <c r="W88" t="s">
        <v>411</v>
      </c>
      <c r="X88">
        <f t="shared" ca="1" si="5"/>
        <v>7</v>
      </c>
      <c r="Y88" t="s">
        <v>412</v>
      </c>
      <c r="Z88">
        <f t="shared" ca="1" si="4"/>
        <v>666</v>
      </c>
      <c r="AA88" t="s">
        <v>59</v>
      </c>
      <c r="AB88" t="s">
        <v>94</v>
      </c>
      <c r="AC88" t="s">
        <v>95</v>
      </c>
      <c r="AD88">
        <v>10</v>
      </c>
      <c r="AE88" t="s">
        <v>62</v>
      </c>
      <c r="AF88" t="s">
        <v>180</v>
      </c>
      <c r="AG88">
        <v>2.1</v>
      </c>
      <c r="AH88">
        <v>5</v>
      </c>
      <c r="AI88">
        <v>4</v>
      </c>
      <c r="AJ88" t="s">
        <v>413</v>
      </c>
      <c r="AK88">
        <v>4</v>
      </c>
      <c r="AL88">
        <v>19</v>
      </c>
    </row>
    <row r="89" spans="1:38" x14ac:dyDescent="0.25">
      <c r="A89" t="s">
        <v>414</v>
      </c>
      <c r="B89">
        <v>10263</v>
      </c>
      <c r="C89">
        <v>1</v>
      </c>
      <c r="D89">
        <v>1</v>
      </c>
      <c r="E89">
        <v>0</v>
      </c>
      <c r="F89">
        <v>1</v>
      </c>
      <c r="G89">
        <v>5</v>
      </c>
      <c r="H89">
        <v>3</v>
      </c>
      <c r="I89">
        <v>0</v>
      </c>
      <c r="J89">
        <v>71776</v>
      </c>
      <c r="K89">
        <v>0</v>
      </c>
      <c r="L89">
        <v>20</v>
      </c>
      <c r="M89" t="s">
        <v>66</v>
      </c>
      <c r="N89" t="e" vm="1">
        <v>#VALUE!</v>
      </c>
      <c r="O89">
        <v>1824</v>
      </c>
      <c r="P89" t="s">
        <v>415</v>
      </c>
      <c r="Q89" t="s">
        <v>68</v>
      </c>
      <c r="R89">
        <f t="shared" ca="1" si="3"/>
        <v>40</v>
      </c>
      <c r="S89" t="s">
        <v>56</v>
      </c>
      <c r="T89" t="s">
        <v>43</v>
      </c>
      <c r="U89" t="s">
        <v>44</v>
      </c>
      <c r="V89" t="s">
        <v>106</v>
      </c>
      <c r="W89" t="s">
        <v>160</v>
      </c>
      <c r="X89">
        <f t="shared" ca="1" si="5"/>
        <v>4</v>
      </c>
      <c r="Z89" t="str">
        <f t="shared" ca="1" si="4"/>
        <v/>
      </c>
      <c r="AA89" t="s">
        <v>47</v>
      </c>
      <c r="AB89" t="s">
        <v>48</v>
      </c>
      <c r="AC89" t="s">
        <v>75</v>
      </c>
      <c r="AD89">
        <v>16</v>
      </c>
      <c r="AE89" t="s">
        <v>50</v>
      </c>
      <c r="AF89" t="s">
        <v>63</v>
      </c>
      <c r="AG89">
        <v>4.4000000000000004</v>
      </c>
      <c r="AH89">
        <v>5</v>
      </c>
      <c r="AI89">
        <v>0</v>
      </c>
      <c r="AJ89" t="s">
        <v>242</v>
      </c>
      <c r="AK89">
        <v>0</v>
      </c>
      <c r="AL89">
        <v>17</v>
      </c>
    </row>
    <row r="90" spans="1:38" x14ac:dyDescent="0.25">
      <c r="A90" t="s">
        <v>416</v>
      </c>
      <c r="B90">
        <v>10136</v>
      </c>
      <c r="C90">
        <v>0</v>
      </c>
      <c r="D90">
        <v>0</v>
      </c>
      <c r="E90">
        <v>0</v>
      </c>
      <c r="F90">
        <v>1</v>
      </c>
      <c r="G90">
        <v>5</v>
      </c>
      <c r="H90">
        <v>3</v>
      </c>
      <c r="I90">
        <v>0</v>
      </c>
      <c r="J90">
        <v>65902</v>
      </c>
      <c r="K90">
        <v>0</v>
      </c>
      <c r="L90">
        <v>20</v>
      </c>
      <c r="M90" t="s">
        <v>66</v>
      </c>
      <c r="N90" t="e" vm="1">
        <v>#VALUE!</v>
      </c>
      <c r="O90">
        <v>2324</v>
      </c>
      <c r="P90" t="s">
        <v>417</v>
      </c>
      <c r="Q90" t="s">
        <v>68</v>
      </c>
      <c r="R90">
        <f t="shared" ca="1" si="3"/>
        <v>33</v>
      </c>
      <c r="S90" t="s">
        <v>42</v>
      </c>
      <c r="T90" t="s">
        <v>43</v>
      </c>
      <c r="U90" t="s">
        <v>44</v>
      </c>
      <c r="V90" t="s">
        <v>106</v>
      </c>
      <c r="W90" t="s">
        <v>188</v>
      </c>
      <c r="X90">
        <f t="shared" ca="1" si="5"/>
        <v>4</v>
      </c>
      <c r="Z90" t="str">
        <f t="shared" ca="1" si="4"/>
        <v/>
      </c>
      <c r="AA90" t="s">
        <v>47</v>
      </c>
      <c r="AB90" t="s">
        <v>48</v>
      </c>
      <c r="AC90" t="s">
        <v>82</v>
      </c>
      <c r="AE90" t="s">
        <v>50</v>
      </c>
      <c r="AF90" t="s">
        <v>63</v>
      </c>
      <c r="AG90">
        <v>4</v>
      </c>
      <c r="AH90">
        <v>4</v>
      </c>
      <c r="AI90">
        <v>0</v>
      </c>
      <c r="AJ90" t="s">
        <v>89</v>
      </c>
      <c r="AK90">
        <v>0</v>
      </c>
      <c r="AL90">
        <v>7</v>
      </c>
    </row>
    <row r="91" spans="1:38" x14ac:dyDescent="0.25">
      <c r="A91" t="s">
        <v>418</v>
      </c>
      <c r="B91">
        <v>10189</v>
      </c>
      <c r="C91">
        <v>1</v>
      </c>
      <c r="D91">
        <v>1</v>
      </c>
      <c r="E91">
        <v>0</v>
      </c>
      <c r="F91">
        <v>5</v>
      </c>
      <c r="G91">
        <v>5</v>
      </c>
      <c r="H91">
        <v>3</v>
      </c>
      <c r="I91">
        <v>0</v>
      </c>
      <c r="J91">
        <v>57748</v>
      </c>
      <c r="K91">
        <v>1</v>
      </c>
      <c r="L91">
        <v>19</v>
      </c>
      <c r="M91" t="s">
        <v>39</v>
      </c>
      <c r="N91" t="e" vm="1">
        <v>#VALUE!</v>
      </c>
      <c r="O91">
        <v>2176</v>
      </c>
      <c r="P91" t="s">
        <v>419</v>
      </c>
      <c r="Q91" t="s">
        <v>68</v>
      </c>
      <c r="R91">
        <f t="shared" ca="1" si="3"/>
        <v>69</v>
      </c>
      <c r="S91" t="s">
        <v>56</v>
      </c>
      <c r="T91" t="s">
        <v>43</v>
      </c>
      <c r="U91" t="s">
        <v>44</v>
      </c>
      <c r="V91" t="s">
        <v>45</v>
      </c>
      <c r="W91" t="s">
        <v>338</v>
      </c>
      <c r="X91">
        <f t="shared" ca="1" si="5"/>
        <v>7</v>
      </c>
      <c r="Y91" t="s">
        <v>420</v>
      </c>
      <c r="Z91">
        <f t="shared" ca="1" si="4"/>
        <v>554</v>
      </c>
      <c r="AA91" t="s">
        <v>59</v>
      </c>
      <c r="AB91" t="s">
        <v>48</v>
      </c>
      <c r="AC91" t="s">
        <v>82</v>
      </c>
      <c r="AD91">
        <v>39</v>
      </c>
      <c r="AE91" t="s">
        <v>83</v>
      </c>
      <c r="AF91" t="s">
        <v>63</v>
      </c>
      <c r="AG91">
        <v>3.13</v>
      </c>
      <c r="AH91">
        <v>3</v>
      </c>
      <c r="AI91">
        <v>0</v>
      </c>
      <c r="AJ91" t="s">
        <v>421</v>
      </c>
      <c r="AK91">
        <v>0</v>
      </c>
      <c r="AL91">
        <v>16</v>
      </c>
    </row>
    <row r="92" spans="1:38" x14ac:dyDescent="0.25">
      <c r="A92" t="s">
        <v>422</v>
      </c>
      <c r="B92">
        <v>10308</v>
      </c>
      <c r="C92">
        <v>1</v>
      </c>
      <c r="D92">
        <v>1</v>
      </c>
      <c r="E92">
        <v>1</v>
      </c>
      <c r="F92">
        <v>1</v>
      </c>
      <c r="G92">
        <v>5</v>
      </c>
      <c r="H92">
        <v>1</v>
      </c>
      <c r="I92">
        <v>0</v>
      </c>
      <c r="J92">
        <v>64057</v>
      </c>
      <c r="K92">
        <v>0</v>
      </c>
      <c r="L92">
        <v>19</v>
      </c>
      <c r="M92" t="s">
        <v>39</v>
      </c>
      <c r="N92" t="e" vm="1">
        <v>#VALUE!</v>
      </c>
      <c r="O92">
        <v>2132</v>
      </c>
      <c r="P92" t="s">
        <v>423</v>
      </c>
      <c r="Q92" t="s">
        <v>41</v>
      </c>
      <c r="R92">
        <f t="shared" ca="1" si="3"/>
        <v>32</v>
      </c>
      <c r="S92" t="s">
        <v>56</v>
      </c>
      <c r="T92" t="s">
        <v>43</v>
      </c>
      <c r="U92" t="s">
        <v>44</v>
      </c>
      <c r="V92" t="s">
        <v>45</v>
      </c>
      <c r="W92" t="s">
        <v>424</v>
      </c>
      <c r="X92">
        <f t="shared" ca="1" si="5"/>
        <v>3</v>
      </c>
      <c r="Z92" t="str">
        <f t="shared" ca="1" si="4"/>
        <v/>
      </c>
      <c r="AA92" t="s">
        <v>47</v>
      </c>
      <c r="AB92" t="s">
        <v>48</v>
      </c>
      <c r="AC92" t="s">
        <v>88</v>
      </c>
      <c r="AD92">
        <v>11</v>
      </c>
      <c r="AE92" t="s">
        <v>62</v>
      </c>
      <c r="AF92" t="s">
        <v>351</v>
      </c>
      <c r="AG92">
        <v>1.56</v>
      </c>
      <c r="AH92">
        <v>5</v>
      </c>
      <c r="AI92">
        <v>0</v>
      </c>
      <c r="AJ92" t="s">
        <v>76</v>
      </c>
      <c r="AK92">
        <v>6</v>
      </c>
      <c r="AL92">
        <v>15</v>
      </c>
    </row>
    <row r="93" spans="1:38" x14ac:dyDescent="0.25">
      <c r="A93" t="s">
        <v>425</v>
      </c>
      <c r="B93">
        <v>10309</v>
      </c>
      <c r="C93">
        <v>0</v>
      </c>
      <c r="D93">
        <v>0</v>
      </c>
      <c r="E93">
        <v>1</v>
      </c>
      <c r="F93">
        <v>1</v>
      </c>
      <c r="G93">
        <v>3</v>
      </c>
      <c r="H93">
        <v>1</v>
      </c>
      <c r="I93">
        <v>0</v>
      </c>
      <c r="J93">
        <v>53366</v>
      </c>
      <c r="K93">
        <v>0</v>
      </c>
      <c r="L93">
        <v>15</v>
      </c>
      <c r="M93" t="s">
        <v>426</v>
      </c>
      <c r="N93" t="e" vm="1">
        <v>#VALUE!</v>
      </c>
      <c r="O93">
        <v>2138</v>
      </c>
      <c r="P93" t="s">
        <v>427</v>
      </c>
      <c r="Q93" t="s">
        <v>41</v>
      </c>
      <c r="R93">
        <f t="shared" ca="1" si="3"/>
        <v>29</v>
      </c>
      <c r="S93" t="s">
        <v>42</v>
      </c>
      <c r="T93" t="s">
        <v>43</v>
      </c>
      <c r="U93" t="s">
        <v>44</v>
      </c>
      <c r="V93" t="s">
        <v>45</v>
      </c>
      <c r="W93" t="s">
        <v>57</v>
      </c>
      <c r="X93">
        <f t="shared" ca="1" si="5"/>
        <v>3</v>
      </c>
      <c r="Z93" t="str">
        <f t="shared" ca="1" si="4"/>
        <v/>
      </c>
      <c r="AA93" t="s">
        <v>47</v>
      </c>
      <c r="AB93" t="s">
        <v>60</v>
      </c>
      <c r="AC93" t="s">
        <v>115</v>
      </c>
      <c r="AD93">
        <v>7</v>
      </c>
      <c r="AE93" t="s">
        <v>50</v>
      </c>
      <c r="AF93" t="s">
        <v>351</v>
      </c>
      <c r="AG93">
        <v>1.2</v>
      </c>
      <c r="AH93">
        <v>3</v>
      </c>
      <c r="AI93">
        <v>6</v>
      </c>
      <c r="AJ93" t="s">
        <v>313</v>
      </c>
      <c r="AK93">
        <v>3</v>
      </c>
      <c r="AL93">
        <v>2</v>
      </c>
    </row>
    <row r="94" spans="1:38" x14ac:dyDescent="0.25">
      <c r="A94" t="s">
        <v>428</v>
      </c>
      <c r="B94">
        <v>10049</v>
      </c>
      <c r="C94">
        <v>1</v>
      </c>
      <c r="D94">
        <v>1</v>
      </c>
      <c r="E94">
        <v>0</v>
      </c>
      <c r="F94">
        <v>1</v>
      </c>
      <c r="G94">
        <v>5</v>
      </c>
      <c r="H94">
        <v>3</v>
      </c>
      <c r="I94">
        <v>0</v>
      </c>
      <c r="J94">
        <v>58530</v>
      </c>
      <c r="K94">
        <v>0</v>
      </c>
      <c r="L94">
        <v>19</v>
      </c>
      <c r="M94" t="s">
        <v>39</v>
      </c>
      <c r="N94" t="e" vm="1">
        <v>#VALUE!</v>
      </c>
      <c r="O94">
        <v>2155</v>
      </c>
      <c r="P94" t="s">
        <v>429</v>
      </c>
      <c r="Q94" t="s">
        <v>68</v>
      </c>
      <c r="R94">
        <f t="shared" ca="1" si="3"/>
        <v>39</v>
      </c>
      <c r="S94" t="s">
        <v>56</v>
      </c>
      <c r="T94" t="s">
        <v>43</v>
      </c>
      <c r="U94" t="s">
        <v>44</v>
      </c>
      <c r="V94" t="s">
        <v>45</v>
      </c>
      <c r="W94" t="s">
        <v>87</v>
      </c>
      <c r="X94">
        <f t="shared" ca="1" si="5"/>
        <v>7</v>
      </c>
      <c r="Z94" t="str">
        <f t="shared" ca="1" si="4"/>
        <v/>
      </c>
      <c r="AA94" t="s">
        <v>47</v>
      </c>
      <c r="AB94" t="s">
        <v>48</v>
      </c>
      <c r="AC94" t="s">
        <v>108</v>
      </c>
      <c r="AD94">
        <v>12</v>
      </c>
      <c r="AE94" t="s">
        <v>83</v>
      </c>
      <c r="AF94" t="s">
        <v>63</v>
      </c>
      <c r="AG94">
        <v>5</v>
      </c>
      <c r="AH94">
        <v>5</v>
      </c>
      <c r="AI94">
        <v>0</v>
      </c>
      <c r="AJ94" t="s">
        <v>369</v>
      </c>
      <c r="AK94">
        <v>0</v>
      </c>
      <c r="AL94">
        <v>19</v>
      </c>
    </row>
    <row r="95" spans="1:38" x14ac:dyDescent="0.25">
      <c r="A95" t="s">
        <v>430</v>
      </c>
      <c r="B95">
        <v>10093</v>
      </c>
      <c r="C95">
        <v>0</v>
      </c>
      <c r="D95">
        <v>0</v>
      </c>
      <c r="E95">
        <v>1</v>
      </c>
      <c r="F95">
        <v>5</v>
      </c>
      <c r="G95">
        <v>5</v>
      </c>
      <c r="H95">
        <v>3</v>
      </c>
      <c r="I95">
        <v>0</v>
      </c>
      <c r="J95">
        <v>72609</v>
      </c>
      <c r="K95">
        <v>1</v>
      </c>
      <c r="L95">
        <v>20</v>
      </c>
      <c r="M95" t="s">
        <v>66</v>
      </c>
      <c r="N95" t="e" vm="1">
        <v>#VALUE!</v>
      </c>
      <c r="O95">
        <v>2143</v>
      </c>
      <c r="P95" t="s">
        <v>431</v>
      </c>
      <c r="Q95" t="s">
        <v>41</v>
      </c>
      <c r="R95">
        <f t="shared" ca="1" si="3"/>
        <v>40</v>
      </c>
      <c r="S95" t="s">
        <v>42</v>
      </c>
      <c r="T95" t="s">
        <v>43</v>
      </c>
      <c r="U95" t="s">
        <v>119</v>
      </c>
      <c r="V95" t="s">
        <v>45</v>
      </c>
      <c r="W95" t="s">
        <v>288</v>
      </c>
      <c r="X95">
        <f t="shared" ca="1" si="5"/>
        <v>7</v>
      </c>
      <c r="Y95" t="s">
        <v>432</v>
      </c>
      <c r="Z95">
        <f t="shared" ca="1" si="4"/>
        <v>529</v>
      </c>
      <c r="AA95" t="s">
        <v>59</v>
      </c>
      <c r="AB95" t="s">
        <v>48</v>
      </c>
      <c r="AC95" t="s">
        <v>88</v>
      </c>
      <c r="AD95">
        <v>11</v>
      </c>
      <c r="AE95" t="s">
        <v>83</v>
      </c>
      <c r="AF95" t="s">
        <v>63</v>
      </c>
      <c r="AG95">
        <v>4.76</v>
      </c>
      <c r="AH95">
        <v>5</v>
      </c>
      <c r="AI95">
        <v>0</v>
      </c>
      <c r="AJ95" t="s">
        <v>433</v>
      </c>
      <c r="AK95">
        <v>0</v>
      </c>
      <c r="AL95">
        <v>20</v>
      </c>
    </row>
    <row r="96" spans="1:38" x14ac:dyDescent="0.25">
      <c r="A96" t="s">
        <v>434</v>
      </c>
      <c r="B96">
        <v>10163</v>
      </c>
      <c r="C96">
        <v>1</v>
      </c>
      <c r="D96">
        <v>1</v>
      </c>
      <c r="E96">
        <v>0</v>
      </c>
      <c r="F96">
        <v>5</v>
      </c>
      <c r="G96">
        <v>5</v>
      </c>
      <c r="H96">
        <v>3</v>
      </c>
      <c r="I96">
        <v>0</v>
      </c>
      <c r="J96">
        <v>55965</v>
      </c>
      <c r="K96">
        <v>1</v>
      </c>
      <c r="L96">
        <v>20</v>
      </c>
      <c r="M96" t="s">
        <v>66</v>
      </c>
      <c r="N96" t="e" vm="1">
        <v>#VALUE!</v>
      </c>
      <c r="O96">
        <v>2170</v>
      </c>
      <c r="P96" t="s">
        <v>435</v>
      </c>
      <c r="Q96" t="s">
        <v>68</v>
      </c>
      <c r="R96">
        <f t="shared" ca="1" si="3"/>
        <v>34</v>
      </c>
      <c r="S96" t="s">
        <v>56</v>
      </c>
      <c r="T96" t="s">
        <v>43</v>
      </c>
      <c r="U96" t="s">
        <v>44</v>
      </c>
      <c r="V96" t="s">
        <v>45</v>
      </c>
      <c r="W96" t="s">
        <v>156</v>
      </c>
      <c r="X96">
        <f t="shared" ca="1" si="5"/>
        <v>7</v>
      </c>
      <c r="Y96" t="s">
        <v>436</v>
      </c>
      <c r="Z96">
        <f t="shared" ca="1" si="4"/>
        <v>148</v>
      </c>
      <c r="AA96" t="s">
        <v>59</v>
      </c>
      <c r="AB96" t="s">
        <v>48</v>
      </c>
      <c r="AC96" t="s">
        <v>101</v>
      </c>
      <c r="AD96">
        <v>19</v>
      </c>
      <c r="AE96" t="s">
        <v>83</v>
      </c>
      <c r="AF96" t="s">
        <v>63</v>
      </c>
      <c r="AG96">
        <v>3.66</v>
      </c>
      <c r="AH96">
        <v>3</v>
      </c>
      <c r="AI96">
        <v>0</v>
      </c>
      <c r="AJ96" t="s">
        <v>437</v>
      </c>
      <c r="AK96">
        <v>0</v>
      </c>
      <c r="AL96">
        <v>6</v>
      </c>
    </row>
    <row r="97" spans="1:38" x14ac:dyDescent="0.25">
      <c r="A97" t="s">
        <v>438</v>
      </c>
      <c r="B97">
        <v>10305</v>
      </c>
      <c r="C97">
        <v>1</v>
      </c>
      <c r="D97">
        <v>1</v>
      </c>
      <c r="E97">
        <v>1</v>
      </c>
      <c r="F97">
        <v>1</v>
      </c>
      <c r="G97">
        <v>6</v>
      </c>
      <c r="H97">
        <v>3</v>
      </c>
      <c r="I97">
        <v>0</v>
      </c>
      <c r="J97">
        <v>70187</v>
      </c>
      <c r="K97">
        <v>1</v>
      </c>
      <c r="L97">
        <v>3</v>
      </c>
      <c r="M97" t="s">
        <v>222</v>
      </c>
      <c r="N97" t="e" vm="1">
        <v>#VALUE!</v>
      </c>
      <c r="O97">
        <v>2330</v>
      </c>
      <c r="P97" t="s">
        <v>439</v>
      </c>
      <c r="Q97" t="s">
        <v>41</v>
      </c>
      <c r="R97">
        <f t="shared" ca="1" si="3"/>
        <v>44</v>
      </c>
      <c r="S97" t="s">
        <v>56</v>
      </c>
      <c r="T97" t="s">
        <v>43</v>
      </c>
      <c r="U97" t="s">
        <v>44</v>
      </c>
      <c r="V97" t="s">
        <v>45</v>
      </c>
      <c r="W97" t="s">
        <v>214</v>
      </c>
      <c r="X97">
        <f t="shared" ca="1" si="5"/>
        <v>4</v>
      </c>
      <c r="Y97" t="s">
        <v>440</v>
      </c>
      <c r="Z97">
        <f t="shared" ca="1" si="4"/>
        <v>738</v>
      </c>
      <c r="AA97" t="s">
        <v>59</v>
      </c>
      <c r="AB97" t="s">
        <v>226</v>
      </c>
      <c r="AC97" t="s">
        <v>271</v>
      </c>
      <c r="AD97">
        <v>21</v>
      </c>
      <c r="AE97" t="s">
        <v>102</v>
      </c>
      <c r="AF97" t="s">
        <v>351</v>
      </c>
      <c r="AG97">
        <v>2</v>
      </c>
      <c r="AH97">
        <v>5</v>
      </c>
      <c r="AI97">
        <v>0</v>
      </c>
      <c r="AJ97" t="s">
        <v>321</v>
      </c>
      <c r="AK97">
        <v>4</v>
      </c>
      <c r="AL97">
        <v>7</v>
      </c>
    </row>
    <row r="98" spans="1:38" x14ac:dyDescent="0.25">
      <c r="A98" t="s">
        <v>441</v>
      </c>
      <c r="B98">
        <v>10015</v>
      </c>
      <c r="C98">
        <v>0</v>
      </c>
      <c r="D98">
        <v>0</v>
      </c>
      <c r="E98">
        <v>1</v>
      </c>
      <c r="F98">
        <v>1</v>
      </c>
      <c r="G98">
        <v>3</v>
      </c>
      <c r="H98">
        <v>4</v>
      </c>
      <c r="I98">
        <v>0</v>
      </c>
      <c r="J98">
        <v>178000</v>
      </c>
      <c r="K98">
        <v>0</v>
      </c>
      <c r="L98">
        <v>12</v>
      </c>
      <c r="M98" t="s">
        <v>442</v>
      </c>
      <c r="N98" t="e" vm="1">
        <v>#VALUE!</v>
      </c>
      <c r="O98">
        <v>1460</v>
      </c>
      <c r="P98" t="s">
        <v>443</v>
      </c>
      <c r="Q98" t="s">
        <v>41</v>
      </c>
      <c r="R98">
        <f t="shared" ca="1" si="3"/>
        <v>38</v>
      </c>
      <c r="S98" t="s">
        <v>42</v>
      </c>
      <c r="T98" t="s">
        <v>43</v>
      </c>
      <c r="U98" t="s">
        <v>44</v>
      </c>
      <c r="V98" t="s">
        <v>106</v>
      </c>
      <c r="W98" t="s">
        <v>444</v>
      </c>
      <c r="X98">
        <f t="shared" ca="1" si="5"/>
        <v>7</v>
      </c>
      <c r="Z98" t="str">
        <f t="shared" ca="1" si="4"/>
        <v/>
      </c>
      <c r="AA98" t="s">
        <v>47</v>
      </c>
      <c r="AB98" t="s">
        <v>60</v>
      </c>
      <c r="AC98" t="s">
        <v>238</v>
      </c>
      <c r="AD98">
        <v>5</v>
      </c>
      <c r="AE98" t="s">
        <v>62</v>
      </c>
      <c r="AF98" t="s">
        <v>51</v>
      </c>
      <c r="AG98">
        <v>5</v>
      </c>
      <c r="AH98">
        <v>5</v>
      </c>
      <c r="AI98">
        <v>5</v>
      </c>
      <c r="AJ98" t="s">
        <v>89</v>
      </c>
      <c r="AK98">
        <v>0</v>
      </c>
      <c r="AL98">
        <v>15</v>
      </c>
    </row>
    <row r="99" spans="1:38" x14ac:dyDescent="0.25">
      <c r="A99" t="s">
        <v>445</v>
      </c>
      <c r="B99">
        <v>10080</v>
      </c>
      <c r="C99">
        <v>1</v>
      </c>
      <c r="D99">
        <v>1</v>
      </c>
      <c r="E99">
        <v>0</v>
      </c>
      <c r="F99">
        <v>1</v>
      </c>
      <c r="G99">
        <v>1</v>
      </c>
      <c r="H99">
        <v>3</v>
      </c>
      <c r="I99">
        <v>0</v>
      </c>
      <c r="J99">
        <v>99351</v>
      </c>
      <c r="K99">
        <v>0</v>
      </c>
      <c r="L99">
        <v>26</v>
      </c>
      <c r="M99" t="s">
        <v>192</v>
      </c>
      <c r="N99" t="e" vm="1">
        <v>#VALUE!</v>
      </c>
      <c r="O99">
        <v>2050</v>
      </c>
      <c r="P99" t="s">
        <v>446</v>
      </c>
      <c r="Q99" t="s">
        <v>68</v>
      </c>
      <c r="R99">
        <f t="shared" ca="1" si="3"/>
        <v>44</v>
      </c>
      <c r="S99" t="s">
        <v>56</v>
      </c>
      <c r="T99" t="s">
        <v>43</v>
      </c>
      <c r="U99" t="s">
        <v>44</v>
      </c>
      <c r="V99" t="s">
        <v>45</v>
      </c>
      <c r="W99" t="s">
        <v>312</v>
      </c>
      <c r="X99">
        <f t="shared" ca="1" si="5"/>
        <v>10</v>
      </c>
      <c r="Z99" t="str">
        <f t="shared" ca="1" si="4"/>
        <v/>
      </c>
      <c r="AA99" t="s">
        <v>47</v>
      </c>
      <c r="AB99" t="s">
        <v>195</v>
      </c>
      <c r="AC99" t="s">
        <v>447</v>
      </c>
      <c r="AD99">
        <v>9</v>
      </c>
      <c r="AE99" t="s">
        <v>448</v>
      </c>
      <c r="AF99" t="s">
        <v>63</v>
      </c>
      <c r="AG99">
        <v>5</v>
      </c>
      <c r="AH99">
        <v>3</v>
      </c>
      <c r="AI99">
        <v>2</v>
      </c>
      <c r="AJ99" t="s">
        <v>449</v>
      </c>
      <c r="AK99">
        <v>0</v>
      </c>
      <c r="AL99">
        <v>3</v>
      </c>
    </row>
    <row r="100" spans="1:38" x14ac:dyDescent="0.25">
      <c r="A100" t="s">
        <v>450</v>
      </c>
      <c r="B100">
        <v>10258</v>
      </c>
      <c r="C100">
        <v>0</v>
      </c>
      <c r="D100">
        <v>0</v>
      </c>
      <c r="E100">
        <v>1</v>
      </c>
      <c r="F100">
        <v>1</v>
      </c>
      <c r="G100">
        <v>6</v>
      </c>
      <c r="H100">
        <v>3</v>
      </c>
      <c r="I100">
        <v>0</v>
      </c>
      <c r="J100">
        <v>67251</v>
      </c>
      <c r="K100">
        <v>0</v>
      </c>
      <c r="L100">
        <v>3</v>
      </c>
      <c r="M100" t="s">
        <v>222</v>
      </c>
      <c r="N100" t="e" vm="3">
        <v>#VALUE!</v>
      </c>
      <c r="O100">
        <v>6050</v>
      </c>
      <c r="P100" t="s">
        <v>451</v>
      </c>
      <c r="Q100" t="s">
        <v>41</v>
      </c>
      <c r="R100">
        <f t="shared" ca="1" si="3"/>
        <v>57</v>
      </c>
      <c r="S100" t="s">
        <v>42</v>
      </c>
      <c r="T100" t="s">
        <v>43</v>
      </c>
      <c r="U100" t="s">
        <v>44</v>
      </c>
      <c r="V100" t="s">
        <v>106</v>
      </c>
      <c r="W100" t="s">
        <v>452</v>
      </c>
      <c r="X100">
        <f t="shared" ca="1" si="5"/>
        <v>7</v>
      </c>
      <c r="Z100" t="str">
        <f t="shared" ca="1" si="4"/>
        <v/>
      </c>
      <c r="AA100" t="s">
        <v>47</v>
      </c>
      <c r="AB100" t="s">
        <v>226</v>
      </c>
      <c r="AC100" t="s">
        <v>271</v>
      </c>
      <c r="AD100">
        <v>21</v>
      </c>
      <c r="AE100" t="s">
        <v>179</v>
      </c>
      <c r="AF100" t="s">
        <v>63</v>
      </c>
      <c r="AG100">
        <v>4.3</v>
      </c>
      <c r="AH100">
        <v>3</v>
      </c>
      <c r="AI100">
        <v>0</v>
      </c>
      <c r="AJ100" t="s">
        <v>385</v>
      </c>
      <c r="AK100">
        <v>2</v>
      </c>
      <c r="AL100">
        <v>7</v>
      </c>
    </row>
    <row r="101" spans="1:38" x14ac:dyDescent="0.25">
      <c r="A101" t="s">
        <v>453</v>
      </c>
      <c r="B101">
        <v>10273</v>
      </c>
      <c r="C101">
        <v>0</v>
      </c>
      <c r="D101">
        <v>0</v>
      </c>
      <c r="E101">
        <v>0</v>
      </c>
      <c r="F101">
        <v>1</v>
      </c>
      <c r="G101">
        <v>3</v>
      </c>
      <c r="H101">
        <v>3</v>
      </c>
      <c r="I101">
        <v>0</v>
      </c>
      <c r="J101">
        <v>65707</v>
      </c>
      <c r="K101">
        <v>0</v>
      </c>
      <c r="L101">
        <v>14</v>
      </c>
      <c r="M101" t="s">
        <v>112</v>
      </c>
      <c r="N101" t="e" vm="3">
        <v>#VALUE!</v>
      </c>
      <c r="O101">
        <v>6040</v>
      </c>
      <c r="P101" t="s">
        <v>454</v>
      </c>
      <c r="Q101" t="s">
        <v>68</v>
      </c>
      <c r="R101">
        <f t="shared" ca="1" si="3"/>
        <v>55</v>
      </c>
      <c r="S101" t="s">
        <v>42</v>
      </c>
      <c r="T101" t="s">
        <v>43</v>
      </c>
      <c r="U101" t="s">
        <v>44</v>
      </c>
      <c r="V101" t="s">
        <v>45</v>
      </c>
      <c r="W101" t="s">
        <v>455</v>
      </c>
      <c r="X101">
        <f t="shared" ca="1" si="5"/>
        <v>8</v>
      </c>
      <c r="Z101" t="str">
        <f t="shared" ca="1" si="4"/>
        <v/>
      </c>
      <c r="AA101" t="s">
        <v>47</v>
      </c>
      <c r="AB101" t="s">
        <v>60</v>
      </c>
      <c r="AC101" t="s">
        <v>285</v>
      </c>
      <c r="AD101">
        <v>6</v>
      </c>
      <c r="AE101" t="s">
        <v>50</v>
      </c>
      <c r="AF101" t="s">
        <v>63</v>
      </c>
      <c r="AG101">
        <v>4.7</v>
      </c>
      <c r="AH101">
        <v>4</v>
      </c>
      <c r="AI101">
        <v>5</v>
      </c>
      <c r="AJ101" t="s">
        <v>215</v>
      </c>
      <c r="AK101">
        <v>0</v>
      </c>
      <c r="AL101">
        <v>1</v>
      </c>
    </row>
    <row r="102" spans="1:38" x14ac:dyDescent="0.25">
      <c r="A102" t="s">
        <v>456</v>
      </c>
      <c r="B102">
        <v>10111</v>
      </c>
      <c r="C102">
        <v>0</v>
      </c>
      <c r="D102">
        <v>0</v>
      </c>
      <c r="E102">
        <v>1</v>
      </c>
      <c r="F102">
        <v>1</v>
      </c>
      <c r="G102">
        <v>5</v>
      </c>
      <c r="H102">
        <v>3</v>
      </c>
      <c r="I102">
        <v>0</v>
      </c>
      <c r="J102">
        <v>52249</v>
      </c>
      <c r="K102">
        <v>0</v>
      </c>
      <c r="L102">
        <v>19</v>
      </c>
      <c r="M102" t="s">
        <v>39</v>
      </c>
      <c r="N102" t="e" vm="1">
        <v>#VALUE!</v>
      </c>
      <c r="O102">
        <v>1905</v>
      </c>
      <c r="P102" t="s">
        <v>457</v>
      </c>
      <c r="Q102" t="s">
        <v>41</v>
      </c>
      <c r="R102">
        <f t="shared" ca="1" si="3"/>
        <v>36</v>
      </c>
      <c r="S102" t="s">
        <v>42</v>
      </c>
      <c r="T102" t="s">
        <v>43</v>
      </c>
      <c r="U102" t="s">
        <v>119</v>
      </c>
      <c r="V102" t="s">
        <v>45</v>
      </c>
      <c r="W102" t="s">
        <v>57</v>
      </c>
      <c r="X102">
        <f t="shared" ca="1" si="5"/>
        <v>3</v>
      </c>
      <c r="Z102" t="str">
        <f t="shared" ca="1" si="4"/>
        <v/>
      </c>
      <c r="AA102" t="s">
        <v>47</v>
      </c>
      <c r="AB102" t="s">
        <v>48</v>
      </c>
      <c r="AC102" t="s">
        <v>122</v>
      </c>
      <c r="AD102">
        <v>14</v>
      </c>
      <c r="AE102" t="s">
        <v>102</v>
      </c>
      <c r="AF102" t="s">
        <v>63</v>
      </c>
      <c r="AG102">
        <v>4.5</v>
      </c>
      <c r="AH102">
        <v>3</v>
      </c>
      <c r="AI102">
        <v>0</v>
      </c>
      <c r="AJ102" t="s">
        <v>116</v>
      </c>
      <c r="AK102">
        <v>0</v>
      </c>
      <c r="AL102">
        <v>5</v>
      </c>
    </row>
    <row r="103" spans="1:38" x14ac:dyDescent="0.25">
      <c r="A103" t="s">
        <v>458</v>
      </c>
      <c r="B103">
        <v>10257</v>
      </c>
      <c r="C103">
        <v>0</v>
      </c>
      <c r="D103">
        <v>0</v>
      </c>
      <c r="E103">
        <v>0</v>
      </c>
      <c r="F103">
        <v>1</v>
      </c>
      <c r="G103">
        <v>5</v>
      </c>
      <c r="H103">
        <v>3</v>
      </c>
      <c r="I103">
        <v>0</v>
      </c>
      <c r="J103">
        <v>53171</v>
      </c>
      <c r="K103">
        <v>0</v>
      </c>
      <c r="L103">
        <v>19</v>
      </c>
      <c r="M103" t="s">
        <v>39</v>
      </c>
      <c r="N103" t="e" vm="1">
        <v>#VALUE!</v>
      </c>
      <c r="O103">
        <v>2121</v>
      </c>
      <c r="P103" t="s">
        <v>459</v>
      </c>
      <c r="Q103" t="s">
        <v>68</v>
      </c>
      <c r="R103">
        <f t="shared" ca="1" si="3"/>
        <v>33</v>
      </c>
      <c r="S103" t="s">
        <v>42</v>
      </c>
      <c r="T103" t="s">
        <v>43</v>
      </c>
      <c r="U103" t="s">
        <v>119</v>
      </c>
      <c r="V103" t="s">
        <v>106</v>
      </c>
      <c r="W103" t="s">
        <v>288</v>
      </c>
      <c r="X103">
        <f t="shared" ca="1" si="5"/>
        <v>7</v>
      </c>
      <c r="Z103" t="str">
        <f t="shared" ca="1" si="4"/>
        <v/>
      </c>
      <c r="AA103" t="s">
        <v>47</v>
      </c>
      <c r="AB103" t="s">
        <v>48</v>
      </c>
      <c r="AC103" t="s">
        <v>136</v>
      </c>
      <c r="AD103">
        <v>18</v>
      </c>
      <c r="AE103" t="s">
        <v>50</v>
      </c>
      <c r="AF103" t="s">
        <v>63</v>
      </c>
      <c r="AG103">
        <v>4.2</v>
      </c>
      <c r="AH103">
        <v>4</v>
      </c>
      <c r="AI103">
        <v>0</v>
      </c>
      <c r="AJ103" t="s">
        <v>460</v>
      </c>
      <c r="AK103">
        <v>0</v>
      </c>
      <c r="AL103">
        <v>12</v>
      </c>
    </row>
    <row r="104" spans="1:38" x14ac:dyDescent="0.25">
      <c r="A104" t="s">
        <v>461</v>
      </c>
      <c r="B104">
        <v>10159</v>
      </c>
      <c r="C104">
        <v>1</v>
      </c>
      <c r="D104">
        <v>1</v>
      </c>
      <c r="E104">
        <v>0</v>
      </c>
      <c r="F104">
        <v>1</v>
      </c>
      <c r="G104">
        <v>5</v>
      </c>
      <c r="H104">
        <v>3</v>
      </c>
      <c r="I104">
        <v>0</v>
      </c>
      <c r="J104">
        <v>51337</v>
      </c>
      <c r="K104">
        <v>0</v>
      </c>
      <c r="L104">
        <v>19</v>
      </c>
      <c r="M104" t="s">
        <v>39</v>
      </c>
      <c r="N104" t="e" vm="1">
        <v>#VALUE!</v>
      </c>
      <c r="O104">
        <v>2145</v>
      </c>
      <c r="P104" t="s">
        <v>462</v>
      </c>
      <c r="Q104" t="s">
        <v>68</v>
      </c>
      <c r="R104">
        <f t="shared" ca="1" si="3"/>
        <v>26</v>
      </c>
      <c r="S104" t="s">
        <v>56</v>
      </c>
      <c r="T104" t="s">
        <v>43</v>
      </c>
      <c r="U104" t="s">
        <v>44</v>
      </c>
      <c r="V104" t="s">
        <v>106</v>
      </c>
      <c r="W104" t="s">
        <v>57</v>
      </c>
      <c r="X104">
        <f t="shared" ca="1" si="5"/>
        <v>3</v>
      </c>
      <c r="Z104" t="str">
        <f t="shared" ca="1" si="4"/>
        <v/>
      </c>
      <c r="AA104" t="s">
        <v>47</v>
      </c>
      <c r="AB104" t="s">
        <v>48</v>
      </c>
      <c r="AC104" t="s">
        <v>49</v>
      </c>
      <c r="AD104">
        <v>22</v>
      </c>
      <c r="AE104" t="s">
        <v>50</v>
      </c>
      <c r="AF104" t="s">
        <v>63</v>
      </c>
      <c r="AG104">
        <v>3.73</v>
      </c>
      <c r="AH104">
        <v>3</v>
      </c>
      <c r="AI104">
        <v>0</v>
      </c>
      <c r="AJ104" t="s">
        <v>463</v>
      </c>
      <c r="AK104">
        <v>0</v>
      </c>
      <c r="AL104">
        <v>19</v>
      </c>
    </row>
    <row r="105" spans="1:38" x14ac:dyDescent="0.25">
      <c r="A105" t="s">
        <v>464</v>
      </c>
      <c r="B105">
        <v>10122</v>
      </c>
      <c r="C105">
        <v>0</v>
      </c>
      <c r="D105">
        <v>2</v>
      </c>
      <c r="E105">
        <v>0</v>
      </c>
      <c r="F105">
        <v>5</v>
      </c>
      <c r="G105">
        <v>5</v>
      </c>
      <c r="H105">
        <v>3</v>
      </c>
      <c r="I105">
        <v>1</v>
      </c>
      <c r="J105">
        <v>51505</v>
      </c>
      <c r="K105">
        <v>1</v>
      </c>
      <c r="L105">
        <v>19</v>
      </c>
      <c r="M105" t="s">
        <v>39</v>
      </c>
      <c r="N105" t="e" vm="1">
        <v>#VALUE!</v>
      </c>
      <c r="O105">
        <v>2330</v>
      </c>
      <c r="P105" t="s">
        <v>465</v>
      </c>
      <c r="Q105" t="s">
        <v>68</v>
      </c>
      <c r="R105">
        <f t="shared" ca="1" si="3"/>
        <v>51</v>
      </c>
      <c r="S105" t="s">
        <v>79</v>
      </c>
      <c r="T105" t="s">
        <v>43</v>
      </c>
      <c r="U105" t="s">
        <v>44</v>
      </c>
      <c r="V105" t="s">
        <v>106</v>
      </c>
      <c r="W105" t="s">
        <v>338</v>
      </c>
      <c r="X105">
        <f t="shared" ca="1" si="5"/>
        <v>7</v>
      </c>
      <c r="Y105" t="s">
        <v>466</v>
      </c>
      <c r="Z105">
        <f t="shared" ca="1" si="4"/>
        <v>850</v>
      </c>
      <c r="AA105" t="s">
        <v>59</v>
      </c>
      <c r="AB105" t="s">
        <v>48</v>
      </c>
      <c r="AC105" t="s">
        <v>75</v>
      </c>
      <c r="AD105">
        <v>16</v>
      </c>
      <c r="AE105" t="s">
        <v>109</v>
      </c>
      <c r="AF105" t="s">
        <v>63</v>
      </c>
      <c r="AG105">
        <v>4.24</v>
      </c>
      <c r="AH105">
        <v>4</v>
      </c>
      <c r="AI105">
        <v>0</v>
      </c>
      <c r="AJ105" t="s">
        <v>467</v>
      </c>
      <c r="AK105">
        <v>0</v>
      </c>
      <c r="AL105">
        <v>2</v>
      </c>
    </row>
    <row r="106" spans="1:38" x14ac:dyDescent="0.25">
      <c r="A106" t="s">
        <v>468</v>
      </c>
      <c r="B106">
        <v>10142</v>
      </c>
      <c r="C106">
        <v>0</v>
      </c>
      <c r="D106">
        <v>4</v>
      </c>
      <c r="E106">
        <v>0</v>
      </c>
      <c r="F106">
        <v>4</v>
      </c>
      <c r="G106">
        <v>6</v>
      </c>
      <c r="H106">
        <v>3</v>
      </c>
      <c r="I106">
        <v>0</v>
      </c>
      <c r="J106">
        <v>59370</v>
      </c>
      <c r="K106">
        <v>1</v>
      </c>
      <c r="L106">
        <v>3</v>
      </c>
      <c r="M106" t="s">
        <v>222</v>
      </c>
      <c r="N106" t="e" vm="9">
        <v>#VALUE!</v>
      </c>
      <c r="O106">
        <v>43050</v>
      </c>
      <c r="P106" t="s">
        <v>469</v>
      </c>
      <c r="Q106" t="s">
        <v>68</v>
      </c>
      <c r="R106">
        <f t="shared" ca="1" si="3"/>
        <v>45</v>
      </c>
      <c r="S106" t="s">
        <v>99</v>
      </c>
      <c r="T106" t="s">
        <v>43</v>
      </c>
      <c r="U106" t="s">
        <v>44</v>
      </c>
      <c r="V106" t="s">
        <v>106</v>
      </c>
      <c r="W106" t="s">
        <v>160</v>
      </c>
      <c r="X106">
        <f t="shared" ca="1" si="5"/>
        <v>4</v>
      </c>
      <c r="Y106" t="s">
        <v>470</v>
      </c>
      <c r="Z106">
        <f t="shared" ca="1" si="4"/>
        <v>734</v>
      </c>
      <c r="AA106" t="s">
        <v>59</v>
      </c>
      <c r="AB106" t="s">
        <v>226</v>
      </c>
      <c r="AC106" t="s">
        <v>227</v>
      </c>
      <c r="AD106">
        <v>17</v>
      </c>
      <c r="AE106" t="s">
        <v>179</v>
      </c>
      <c r="AF106" t="s">
        <v>63</v>
      </c>
      <c r="AG106">
        <v>3.97</v>
      </c>
      <c r="AH106">
        <v>4</v>
      </c>
      <c r="AI106">
        <v>0</v>
      </c>
      <c r="AJ106" t="s">
        <v>471</v>
      </c>
      <c r="AK106">
        <v>0</v>
      </c>
      <c r="AL106">
        <v>7</v>
      </c>
    </row>
    <row r="107" spans="1:38" x14ac:dyDescent="0.25">
      <c r="A107" t="s">
        <v>472</v>
      </c>
      <c r="B107">
        <v>10283</v>
      </c>
      <c r="C107">
        <v>1</v>
      </c>
      <c r="D107">
        <v>1</v>
      </c>
      <c r="E107">
        <v>1</v>
      </c>
      <c r="F107">
        <v>5</v>
      </c>
      <c r="G107">
        <v>5</v>
      </c>
      <c r="H107">
        <v>2</v>
      </c>
      <c r="I107">
        <v>1</v>
      </c>
      <c r="J107">
        <v>54933</v>
      </c>
      <c r="K107">
        <v>1</v>
      </c>
      <c r="L107">
        <v>19</v>
      </c>
      <c r="M107" t="s">
        <v>39</v>
      </c>
      <c r="N107" t="e" vm="1">
        <v>#VALUE!</v>
      </c>
      <c r="O107">
        <v>2062</v>
      </c>
      <c r="P107" t="s">
        <v>473</v>
      </c>
      <c r="Q107" t="s">
        <v>41</v>
      </c>
      <c r="R107">
        <f t="shared" ca="1" si="3"/>
        <v>45</v>
      </c>
      <c r="S107" t="s">
        <v>56</v>
      </c>
      <c r="T107" t="s">
        <v>43</v>
      </c>
      <c r="U107" t="s">
        <v>44</v>
      </c>
      <c r="V107" t="s">
        <v>106</v>
      </c>
      <c r="W107" t="s">
        <v>126</v>
      </c>
      <c r="X107">
        <f t="shared" ca="1" si="5"/>
        <v>6</v>
      </c>
      <c r="Y107" t="s">
        <v>474</v>
      </c>
      <c r="Z107">
        <f t="shared" ca="1" si="4"/>
        <v>309</v>
      </c>
      <c r="AA107" t="s">
        <v>59</v>
      </c>
      <c r="AB107" t="s">
        <v>48</v>
      </c>
      <c r="AC107" t="s">
        <v>82</v>
      </c>
      <c r="AD107">
        <v>39</v>
      </c>
      <c r="AE107" t="s">
        <v>109</v>
      </c>
      <c r="AF107" t="s">
        <v>180</v>
      </c>
      <c r="AG107">
        <v>3.97</v>
      </c>
      <c r="AH107">
        <v>4</v>
      </c>
      <c r="AI107">
        <v>0</v>
      </c>
      <c r="AJ107" t="s">
        <v>475</v>
      </c>
      <c r="AK107">
        <v>3</v>
      </c>
      <c r="AL107">
        <v>15</v>
      </c>
    </row>
    <row r="108" spans="1:38" x14ac:dyDescent="0.25">
      <c r="A108" t="s">
        <v>476</v>
      </c>
      <c r="B108">
        <v>10018</v>
      </c>
      <c r="C108">
        <v>0</v>
      </c>
      <c r="D108">
        <v>0</v>
      </c>
      <c r="E108">
        <v>0</v>
      </c>
      <c r="F108">
        <v>1</v>
      </c>
      <c r="G108">
        <v>5</v>
      </c>
      <c r="H108">
        <v>4</v>
      </c>
      <c r="I108">
        <v>0</v>
      </c>
      <c r="J108">
        <v>57815</v>
      </c>
      <c r="K108">
        <v>0</v>
      </c>
      <c r="L108">
        <v>19</v>
      </c>
      <c r="M108" t="s">
        <v>39</v>
      </c>
      <c r="N108" t="e" vm="1">
        <v>#VALUE!</v>
      </c>
      <c r="O108">
        <v>2451</v>
      </c>
      <c r="P108" t="s">
        <v>406</v>
      </c>
      <c r="Q108" t="s">
        <v>68</v>
      </c>
      <c r="R108">
        <f t="shared" ca="1" si="3"/>
        <v>36</v>
      </c>
      <c r="S108" t="s">
        <v>42</v>
      </c>
      <c r="T108" t="s">
        <v>43</v>
      </c>
      <c r="U108" t="s">
        <v>119</v>
      </c>
      <c r="V108" t="s">
        <v>134</v>
      </c>
      <c r="W108" t="s">
        <v>214</v>
      </c>
      <c r="X108">
        <f t="shared" ca="1" si="5"/>
        <v>4</v>
      </c>
      <c r="Z108" t="str">
        <f t="shared" ca="1" si="4"/>
        <v/>
      </c>
      <c r="AA108" t="s">
        <v>47</v>
      </c>
      <c r="AB108" t="s">
        <v>48</v>
      </c>
      <c r="AC108" t="s">
        <v>88</v>
      </c>
      <c r="AD108">
        <v>11</v>
      </c>
      <c r="AE108" t="s">
        <v>62</v>
      </c>
      <c r="AF108" t="s">
        <v>51</v>
      </c>
      <c r="AG108">
        <v>3.9</v>
      </c>
      <c r="AH108">
        <v>4</v>
      </c>
      <c r="AI108">
        <v>0</v>
      </c>
      <c r="AJ108" t="s">
        <v>477</v>
      </c>
      <c r="AK108">
        <v>0</v>
      </c>
      <c r="AL108">
        <v>3</v>
      </c>
    </row>
    <row r="109" spans="1:38" x14ac:dyDescent="0.25">
      <c r="A109" t="s">
        <v>478</v>
      </c>
      <c r="B109">
        <v>10255</v>
      </c>
      <c r="C109">
        <v>0</v>
      </c>
      <c r="D109">
        <v>0</v>
      </c>
      <c r="E109">
        <v>0</v>
      </c>
      <c r="F109">
        <v>1</v>
      </c>
      <c r="G109">
        <v>6</v>
      </c>
      <c r="H109">
        <v>3</v>
      </c>
      <c r="I109">
        <v>0</v>
      </c>
      <c r="J109">
        <v>61555</v>
      </c>
      <c r="K109">
        <v>0</v>
      </c>
      <c r="L109">
        <v>3</v>
      </c>
      <c r="M109" t="s">
        <v>222</v>
      </c>
      <c r="N109" t="e" vm="10">
        <v>#VALUE!</v>
      </c>
      <c r="O109">
        <v>46204</v>
      </c>
      <c r="P109" t="s">
        <v>479</v>
      </c>
      <c r="Q109" t="s">
        <v>68</v>
      </c>
      <c r="R109">
        <f t="shared" ca="1" si="3"/>
        <v>29</v>
      </c>
      <c r="S109" t="s">
        <v>42</v>
      </c>
      <c r="T109" t="s">
        <v>43</v>
      </c>
      <c r="U109" t="s">
        <v>44</v>
      </c>
      <c r="V109" t="s">
        <v>45</v>
      </c>
      <c r="W109" t="s">
        <v>194</v>
      </c>
      <c r="X109">
        <f t="shared" ca="1" si="5"/>
        <v>4</v>
      </c>
      <c r="Z109" t="str">
        <f t="shared" ca="1" si="4"/>
        <v/>
      </c>
      <c r="AA109" t="s">
        <v>47</v>
      </c>
      <c r="AB109" t="s">
        <v>226</v>
      </c>
      <c r="AC109" t="s">
        <v>271</v>
      </c>
      <c r="AD109">
        <v>21</v>
      </c>
      <c r="AE109" t="s">
        <v>62</v>
      </c>
      <c r="AF109" t="s">
        <v>63</v>
      </c>
      <c r="AG109">
        <v>4.5</v>
      </c>
      <c r="AH109">
        <v>5</v>
      </c>
      <c r="AI109">
        <v>0</v>
      </c>
      <c r="AJ109" t="s">
        <v>110</v>
      </c>
      <c r="AK109">
        <v>0</v>
      </c>
      <c r="AL109">
        <v>20</v>
      </c>
    </row>
    <row r="110" spans="1:38" x14ac:dyDescent="0.25">
      <c r="A110" t="s">
        <v>480</v>
      </c>
      <c r="B110">
        <v>10246</v>
      </c>
      <c r="C110">
        <v>0</v>
      </c>
      <c r="D110">
        <v>0</v>
      </c>
      <c r="E110">
        <v>0</v>
      </c>
      <c r="F110">
        <v>4</v>
      </c>
      <c r="G110">
        <v>3</v>
      </c>
      <c r="H110">
        <v>3</v>
      </c>
      <c r="I110">
        <v>0</v>
      </c>
      <c r="J110">
        <v>114800</v>
      </c>
      <c r="K110">
        <v>1</v>
      </c>
      <c r="L110">
        <v>8</v>
      </c>
      <c r="M110" t="s">
        <v>158</v>
      </c>
      <c r="N110" t="e" vm="1">
        <v>#VALUE!</v>
      </c>
      <c r="O110">
        <v>2127</v>
      </c>
      <c r="P110" t="s">
        <v>481</v>
      </c>
      <c r="Q110" t="s">
        <v>68</v>
      </c>
      <c r="R110">
        <f t="shared" ca="1" si="3"/>
        <v>48</v>
      </c>
      <c r="S110" t="s">
        <v>42</v>
      </c>
      <c r="T110" t="s">
        <v>43</v>
      </c>
      <c r="U110" t="s">
        <v>44</v>
      </c>
      <c r="V110" t="s">
        <v>45</v>
      </c>
      <c r="W110" t="s">
        <v>194</v>
      </c>
      <c r="X110">
        <f t="shared" ca="1" si="5"/>
        <v>4</v>
      </c>
      <c r="Y110" t="s">
        <v>482</v>
      </c>
      <c r="Z110">
        <f t="shared" ca="1" si="4"/>
        <v>769</v>
      </c>
      <c r="AA110" t="s">
        <v>59</v>
      </c>
      <c r="AB110" t="s">
        <v>60</v>
      </c>
      <c r="AC110" t="s">
        <v>61</v>
      </c>
      <c r="AD110">
        <v>4</v>
      </c>
      <c r="AE110" t="s">
        <v>62</v>
      </c>
      <c r="AF110" t="s">
        <v>63</v>
      </c>
      <c r="AG110">
        <v>4.5999999999999996</v>
      </c>
      <c r="AH110">
        <v>4</v>
      </c>
      <c r="AI110">
        <v>4</v>
      </c>
      <c r="AJ110" t="s">
        <v>475</v>
      </c>
      <c r="AK110">
        <v>0</v>
      </c>
      <c r="AL110">
        <v>10</v>
      </c>
    </row>
    <row r="111" spans="1:38" x14ac:dyDescent="0.25">
      <c r="A111" t="s">
        <v>483</v>
      </c>
      <c r="B111">
        <v>10228</v>
      </c>
      <c r="C111">
        <v>1</v>
      </c>
      <c r="D111">
        <v>1</v>
      </c>
      <c r="E111">
        <v>1</v>
      </c>
      <c r="F111">
        <v>1</v>
      </c>
      <c r="G111">
        <v>3</v>
      </c>
      <c r="H111">
        <v>3</v>
      </c>
      <c r="I111">
        <v>0</v>
      </c>
      <c r="J111">
        <v>74679</v>
      </c>
      <c r="K111">
        <v>0</v>
      </c>
      <c r="L111">
        <v>14</v>
      </c>
      <c r="M111" t="s">
        <v>112</v>
      </c>
      <c r="N111" t="e" vm="1">
        <v>#VALUE!</v>
      </c>
      <c r="O111">
        <v>2135</v>
      </c>
      <c r="P111" t="s">
        <v>484</v>
      </c>
      <c r="Q111" t="s">
        <v>41</v>
      </c>
      <c r="R111">
        <f t="shared" ca="1" si="3"/>
        <v>32</v>
      </c>
      <c r="S111" t="s">
        <v>56</v>
      </c>
      <c r="T111" t="s">
        <v>43</v>
      </c>
      <c r="U111" t="s">
        <v>119</v>
      </c>
      <c r="V111" t="s">
        <v>45</v>
      </c>
      <c r="W111" t="s">
        <v>57</v>
      </c>
      <c r="X111">
        <f t="shared" ca="1" si="5"/>
        <v>3</v>
      </c>
      <c r="Z111" t="str">
        <f t="shared" ca="1" si="4"/>
        <v/>
      </c>
      <c r="AA111" t="s">
        <v>47</v>
      </c>
      <c r="AB111" t="s">
        <v>60</v>
      </c>
      <c r="AC111" t="s">
        <v>115</v>
      </c>
      <c r="AD111">
        <v>7</v>
      </c>
      <c r="AE111" t="s">
        <v>50</v>
      </c>
      <c r="AF111" t="s">
        <v>63</v>
      </c>
      <c r="AG111">
        <v>4.3</v>
      </c>
      <c r="AH111">
        <v>5</v>
      </c>
      <c r="AI111">
        <v>7</v>
      </c>
      <c r="AJ111" t="s">
        <v>173</v>
      </c>
      <c r="AK111">
        <v>0</v>
      </c>
      <c r="AL111">
        <v>20</v>
      </c>
    </row>
    <row r="112" spans="1:38" x14ac:dyDescent="0.25">
      <c r="A112" t="s">
        <v>485</v>
      </c>
      <c r="B112">
        <v>10243</v>
      </c>
      <c r="C112">
        <v>0</v>
      </c>
      <c r="D112">
        <v>0</v>
      </c>
      <c r="E112">
        <v>0</v>
      </c>
      <c r="F112">
        <v>1</v>
      </c>
      <c r="G112">
        <v>5</v>
      </c>
      <c r="H112">
        <v>3</v>
      </c>
      <c r="I112">
        <v>0</v>
      </c>
      <c r="J112">
        <v>53018</v>
      </c>
      <c r="K112">
        <v>0</v>
      </c>
      <c r="L112">
        <v>19</v>
      </c>
      <c r="M112" t="s">
        <v>39</v>
      </c>
      <c r="N112" t="e" vm="1">
        <v>#VALUE!</v>
      </c>
      <c r="O112">
        <v>2451</v>
      </c>
      <c r="P112" t="s">
        <v>486</v>
      </c>
      <c r="Q112" t="s">
        <v>68</v>
      </c>
      <c r="R112">
        <f t="shared" ca="1" si="3"/>
        <v>31</v>
      </c>
      <c r="S112" t="s">
        <v>42</v>
      </c>
      <c r="T112" t="s">
        <v>43</v>
      </c>
      <c r="U112" t="s">
        <v>119</v>
      </c>
      <c r="V112" t="s">
        <v>45</v>
      </c>
      <c r="W112" t="s">
        <v>219</v>
      </c>
      <c r="X112">
        <f t="shared" ca="1" si="5"/>
        <v>5</v>
      </c>
      <c r="Z112" t="str">
        <f t="shared" ca="1" si="4"/>
        <v/>
      </c>
      <c r="AA112" t="s">
        <v>47</v>
      </c>
      <c r="AB112" t="s">
        <v>48</v>
      </c>
      <c r="AC112" t="s">
        <v>101</v>
      </c>
      <c r="AD112">
        <v>19</v>
      </c>
      <c r="AE112" t="s">
        <v>62</v>
      </c>
      <c r="AF112" t="s">
        <v>63</v>
      </c>
      <c r="AG112">
        <v>4.3</v>
      </c>
      <c r="AH112">
        <v>5</v>
      </c>
      <c r="AI112">
        <v>0</v>
      </c>
      <c r="AJ112" t="s">
        <v>116</v>
      </c>
      <c r="AK112">
        <v>0</v>
      </c>
      <c r="AL112">
        <v>7</v>
      </c>
    </row>
    <row r="113" spans="1:38" x14ac:dyDescent="0.25">
      <c r="A113" t="s">
        <v>487</v>
      </c>
      <c r="B113">
        <v>10031</v>
      </c>
      <c r="C113">
        <v>0</v>
      </c>
      <c r="D113">
        <v>2</v>
      </c>
      <c r="E113">
        <v>1</v>
      </c>
      <c r="F113">
        <v>1</v>
      </c>
      <c r="G113">
        <v>5</v>
      </c>
      <c r="H113">
        <v>4</v>
      </c>
      <c r="I113">
        <v>1</v>
      </c>
      <c r="J113">
        <v>59892</v>
      </c>
      <c r="K113">
        <v>0</v>
      </c>
      <c r="L113">
        <v>19</v>
      </c>
      <c r="M113" t="s">
        <v>39</v>
      </c>
      <c r="N113" t="e" vm="1">
        <v>#VALUE!</v>
      </c>
      <c r="O113">
        <v>2108</v>
      </c>
      <c r="P113" t="s">
        <v>488</v>
      </c>
      <c r="Q113" t="s">
        <v>41</v>
      </c>
      <c r="R113">
        <f t="shared" ca="1" si="3"/>
        <v>47</v>
      </c>
      <c r="S113" t="s">
        <v>79</v>
      </c>
      <c r="T113" t="s">
        <v>43</v>
      </c>
      <c r="U113" t="s">
        <v>44</v>
      </c>
      <c r="V113" t="s">
        <v>106</v>
      </c>
      <c r="W113" t="s">
        <v>80</v>
      </c>
      <c r="X113">
        <f t="shared" ca="1" si="5"/>
        <v>7</v>
      </c>
      <c r="Z113" t="str">
        <f t="shared" ca="1" si="4"/>
        <v/>
      </c>
      <c r="AA113" t="s">
        <v>47</v>
      </c>
      <c r="AB113" t="s">
        <v>48</v>
      </c>
      <c r="AC113" t="s">
        <v>108</v>
      </c>
      <c r="AD113">
        <v>12</v>
      </c>
      <c r="AE113" t="s">
        <v>109</v>
      </c>
      <c r="AF113" t="s">
        <v>51</v>
      </c>
      <c r="AG113">
        <v>4.5</v>
      </c>
      <c r="AH113">
        <v>4</v>
      </c>
      <c r="AI113">
        <v>0</v>
      </c>
      <c r="AJ113" t="s">
        <v>116</v>
      </c>
      <c r="AK113">
        <v>0</v>
      </c>
      <c r="AL113">
        <v>1</v>
      </c>
    </row>
    <row r="114" spans="1:38" x14ac:dyDescent="0.25">
      <c r="A114" t="s">
        <v>489</v>
      </c>
      <c r="B114">
        <v>10300</v>
      </c>
      <c r="C114">
        <v>1</v>
      </c>
      <c r="D114">
        <v>1</v>
      </c>
      <c r="E114">
        <v>1</v>
      </c>
      <c r="F114">
        <v>5</v>
      </c>
      <c r="G114">
        <v>5</v>
      </c>
      <c r="H114">
        <v>1</v>
      </c>
      <c r="I114">
        <v>1</v>
      </c>
      <c r="J114">
        <v>68898</v>
      </c>
      <c r="K114">
        <v>1</v>
      </c>
      <c r="L114">
        <v>20</v>
      </c>
      <c r="M114" t="s">
        <v>66</v>
      </c>
      <c r="N114" t="e" vm="1">
        <v>#VALUE!</v>
      </c>
      <c r="O114">
        <v>2128</v>
      </c>
      <c r="P114" t="s">
        <v>490</v>
      </c>
      <c r="Q114" t="s">
        <v>41</v>
      </c>
      <c r="R114">
        <f t="shared" ca="1" si="3"/>
        <v>53</v>
      </c>
      <c r="S114" t="s">
        <v>56</v>
      </c>
      <c r="T114" t="s">
        <v>43</v>
      </c>
      <c r="U114" t="s">
        <v>44</v>
      </c>
      <c r="V114" t="s">
        <v>106</v>
      </c>
      <c r="W114" t="s">
        <v>391</v>
      </c>
      <c r="X114">
        <f t="shared" ca="1" si="5"/>
        <v>8</v>
      </c>
      <c r="Y114" t="s">
        <v>491</v>
      </c>
      <c r="Z114">
        <f t="shared" ca="1" si="4"/>
        <v>324</v>
      </c>
      <c r="AA114" t="s">
        <v>59</v>
      </c>
      <c r="AB114" t="s">
        <v>48</v>
      </c>
      <c r="AC114" t="s">
        <v>108</v>
      </c>
      <c r="AD114">
        <v>12</v>
      </c>
      <c r="AE114" t="s">
        <v>109</v>
      </c>
      <c r="AF114" t="s">
        <v>351</v>
      </c>
      <c r="AG114">
        <v>3</v>
      </c>
      <c r="AH114">
        <v>3</v>
      </c>
      <c r="AI114">
        <v>0</v>
      </c>
      <c r="AJ114" t="s">
        <v>492</v>
      </c>
      <c r="AK114">
        <v>3</v>
      </c>
      <c r="AL114">
        <v>10</v>
      </c>
    </row>
    <row r="115" spans="1:38" x14ac:dyDescent="0.25">
      <c r="A115" t="s">
        <v>493</v>
      </c>
      <c r="B115">
        <v>10101</v>
      </c>
      <c r="C115">
        <v>0</v>
      </c>
      <c r="D115">
        <v>3</v>
      </c>
      <c r="E115">
        <v>0</v>
      </c>
      <c r="F115">
        <v>1</v>
      </c>
      <c r="G115">
        <v>3</v>
      </c>
      <c r="H115">
        <v>3</v>
      </c>
      <c r="I115">
        <v>0</v>
      </c>
      <c r="J115">
        <v>61242</v>
      </c>
      <c r="K115">
        <v>0</v>
      </c>
      <c r="L115">
        <v>14</v>
      </c>
      <c r="M115" t="s">
        <v>112</v>
      </c>
      <c r="N115" t="e" vm="1">
        <v>#VALUE!</v>
      </c>
      <c r="O115">
        <v>2472</v>
      </c>
      <c r="P115" t="s">
        <v>494</v>
      </c>
      <c r="Q115" t="s">
        <v>68</v>
      </c>
      <c r="R115">
        <f t="shared" ca="1" si="3"/>
        <v>43</v>
      </c>
      <c r="S115" t="s">
        <v>218</v>
      </c>
      <c r="T115" t="s">
        <v>43</v>
      </c>
      <c r="U115" t="s">
        <v>119</v>
      </c>
      <c r="V115" t="s">
        <v>45</v>
      </c>
      <c r="W115" t="s">
        <v>114</v>
      </c>
      <c r="X115">
        <f t="shared" ca="1" si="5"/>
        <v>4</v>
      </c>
      <c r="Z115" t="str">
        <f t="shared" ca="1" si="4"/>
        <v/>
      </c>
      <c r="AA115" t="s">
        <v>47</v>
      </c>
      <c r="AB115" t="s">
        <v>60</v>
      </c>
      <c r="AC115" t="s">
        <v>115</v>
      </c>
      <c r="AD115">
        <v>7</v>
      </c>
      <c r="AE115" t="s">
        <v>102</v>
      </c>
      <c r="AF115" t="s">
        <v>63</v>
      </c>
      <c r="AG115">
        <v>4.6100000000000003</v>
      </c>
      <c r="AH115">
        <v>4</v>
      </c>
      <c r="AI115">
        <v>5</v>
      </c>
      <c r="AJ115" t="s">
        <v>321</v>
      </c>
      <c r="AK115">
        <v>0</v>
      </c>
      <c r="AL115">
        <v>11</v>
      </c>
    </row>
    <row r="116" spans="1:38" x14ac:dyDescent="0.25">
      <c r="A116" t="s">
        <v>495</v>
      </c>
      <c r="B116">
        <v>10237</v>
      </c>
      <c r="C116">
        <v>1</v>
      </c>
      <c r="D116">
        <v>1</v>
      </c>
      <c r="E116">
        <v>0</v>
      </c>
      <c r="F116">
        <v>3</v>
      </c>
      <c r="G116">
        <v>5</v>
      </c>
      <c r="H116">
        <v>3</v>
      </c>
      <c r="I116">
        <v>0</v>
      </c>
      <c r="J116">
        <v>66825</v>
      </c>
      <c r="K116">
        <v>0</v>
      </c>
      <c r="L116">
        <v>20</v>
      </c>
      <c r="M116" t="s">
        <v>66</v>
      </c>
      <c r="N116" t="e" vm="1">
        <v>#VALUE!</v>
      </c>
      <c r="O116">
        <v>1886</v>
      </c>
      <c r="P116" t="s">
        <v>496</v>
      </c>
      <c r="Q116" t="s">
        <v>68</v>
      </c>
      <c r="R116">
        <f t="shared" ca="1" si="3"/>
        <v>39</v>
      </c>
      <c r="S116" t="s">
        <v>56</v>
      </c>
      <c r="T116" t="s">
        <v>43</v>
      </c>
      <c r="U116" t="s">
        <v>44</v>
      </c>
      <c r="V116" t="s">
        <v>45</v>
      </c>
      <c r="W116" t="s">
        <v>264</v>
      </c>
      <c r="X116">
        <f t="shared" ca="1" si="5"/>
        <v>4</v>
      </c>
      <c r="Z116" t="str">
        <f t="shared" ca="1" si="4"/>
        <v/>
      </c>
      <c r="AA116" t="s">
        <v>47</v>
      </c>
      <c r="AB116" t="s">
        <v>48</v>
      </c>
      <c r="AC116" t="s">
        <v>122</v>
      </c>
      <c r="AD116">
        <v>14</v>
      </c>
      <c r="AE116" t="s">
        <v>50</v>
      </c>
      <c r="AF116" t="s">
        <v>63</v>
      </c>
      <c r="AG116">
        <v>4.5999999999999996</v>
      </c>
      <c r="AH116">
        <v>3</v>
      </c>
      <c r="AI116">
        <v>0</v>
      </c>
      <c r="AJ116" t="s">
        <v>477</v>
      </c>
      <c r="AK116">
        <v>0</v>
      </c>
      <c r="AL116">
        <v>20</v>
      </c>
    </row>
    <row r="117" spans="1:38" x14ac:dyDescent="0.25">
      <c r="A117" t="s">
        <v>497</v>
      </c>
      <c r="B117">
        <v>10051</v>
      </c>
      <c r="C117">
        <v>1</v>
      </c>
      <c r="D117">
        <v>1</v>
      </c>
      <c r="E117">
        <v>1</v>
      </c>
      <c r="F117">
        <v>1</v>
      </c>
      <c r="G117">
        <v>5</v>
      </c>
      <c r="H117">
        <v>3</v>
      </c>
      <c r="I117">
        <v>0</v>
      </c>
      <c r="J117">
        <v>48285</v>
      </c>
      <c r="K117">
        <v>0</v>
      </c>
      <c r="L117">
        <v>19</v>
      </c>
      <c r="M117" t="s">
        <v>39</v>
      </c>
      <c r="N117" t="e" vm="1">
        <v>#VALUE!</v>
      </c>
      <c r="O117">
        <v>2169</v>
      </c>
      <c r="P117" t="s">
        <v>498</v>
      </c>
      <c r="Q117" t="s">
        <v>41</v>
      </c>
      <c r="R117">
        <f t="shared" ca="1" si="3"/>
        <v>45</v>
      </c>
      <c r="S117" t="s">
        <v>56</v>
      </c>
      <c r="T117" t="s">
        <v>43</v>
      </c>
      <c r="U117" t="s">
        <v>44</v>
      </c>
      <c r="V117" t="s">
        <v>45</v>
      </c>
      <c r="W117" t="s">
        <v>335</v>
      </c>
      <c r="X117">
        <f t="shared" ca="1" si="5"/>
        <v>6</v>
      </c>
      <c r="Z117" t="str">
        <f t="shared" ca="1" si="4"/>
        <v/>
      </c>
      <c r="AA117" t="s">
        <v>47</v>
      </c>
      <c r="AB117" t="s">
        <v>48</v>
      </c>
      <c r="AC117" t="s">
        <v>122</v>
      </c>
      <c r="AD117">
        <v>14</v>
      </c>
      <c r="AE117" t="s">
        <v>50</v>
      </c>
      <c r="AF117" t="s">
        <v>63</v>
      </c>
      <c r="AG117">
        <v>5</v>
      </c>
      <c r="AH117">
        <v>3</v>
      </c>
      <c r="AI117">
        <v>0</v>
      </c>
      <c r="AJ117" t="s">
        <v>152</v>
      </c>
      <c r="AK117">
        <v>0</v>
      </c>
      <c r="AL117">
        <v>2</v>
      </c>
    </row>
    <row r="118" spans="1:38" x14ac:dyDescent="0.25">
      <c r="A118" t="s">
        <v>499</v>
      </c>
      <c r="B118">
        <v>10218</v>
      </c>
      <c r="C118">
        <v>0</v>
      </c>
      <c r="D118">
        <v>3</v>
      </c>
      <c r="E118">
        <v>0</v>
      </c>
      <c r="F118">
        <v>3</v>
      </c>
      <c r="G118">
        <v>5</v>
      </c>
      <c r="H118">
        <v>3</v>
      </c>
      <c r="I118">
        <v>0</v>
      </c>
      <c r="J118">
        <v>66149</v>
      </c>
      <c r="K118">
        <v>0</v>
      </c>
      <c r="L118">
        <v>20</v>
      </c>
      <c r="M118" t="s">
        <v>66</v>
      </c>
      <c r="N118" t="e" vm="1">
        <v>#VALUE!</v>
      </c>
      <c r="O118">
        <v>1824</v>
      </c>
      <c r="P118" t="s">
        <v>500</v>
      </c>
      <c r="Q118" t="s">
        <v>68</v>
      </c>
      <c r="R118">
        <f t="shared" ca="1" si="3"/>
        <v>39</v>
      </c>
      <c r="S118" t="s">
        <v>218</v>
      </c>
      <c r="T118" t="s">
        <v>43</v>
      </c>
      <c r="U118" t="s">
        <v>44</v>
      </c>
      <c r="V118" t="s">
        <v>501</v>
      </c>
      <c r="W118" t="s">
        <v>100</v>
      </c>
      <c r="X118">
        <f t="shared" ca="1" si="5"/>
        <v>5</v>
      </c>
      <c r="Z118" t="str">
        <f t="shared" ca="1" si="4"/>
        <v/>
      </c>
      <c r="AA118" t="s">
        <v>47</v>
      </c>
      <c r="AB118" t="s">
        <v>48</v>
      </c>
      <c r="AC118" t="s">
        <v>70</v>
      </c>
      <c r="AD118">
        <v>20</v>
      </c>
      <c r="AE118" t="s">
        <v>83</v>
      </c>
      <c r="AF118" t="s">
        <v>63</v>
      </c>
      <c r="AG118">
        <v>4.4000000000000004</v>
      </c>
      <c r="AH118">
        <v>5</v>
      </c>
      <c r="AI118">
        <v>0</v>
      </c>
      <c r="AJ118" t="s">
        <v>232</v>
      </c>
      <c r="AK118">
        <v>0</v>
      </c>
      <c r="AL118">
        <v>1</v>
      </c>
    </row>
    <row r="119" spans="1:38" x14ac:dyDescent="0.25">
      <c r="A119" t="s">
        <v>502</v>
      </c>
      <c r="B119">
        <v>10256</v>
      </c>
      <c r="C119">
        <v>1</v>
      </c>
      <c r="D119">
        <v>1</v>
      </c>
      <c r="E119">
        <v>0</v>
      </c>
      <c r="F119">
        <v>3</v>
      </c>
      <c r="G119">
        <v>5</v>
      </c>
      <c r="H119">
        <v>3</v>
      </c>
      <c r="I119">
        <v>0</v>
      </c>
      <c r="J119">
        <v>49256</v>
      </c>
      <c r="K119">
        <v>0</v>
      </c>
      <c r="L119">
        <v>19</v>
      </c>
      <c r="M119" t="s">
        <v>39</v>
      </c>
      <c r="N119" t="e" vm="1">
        <v>#VALUE!</v>
      </c>
      <c r="O119">
        <v>1864</v>
      </c>
      <c r="P119" t="s">
        <v>503</v>
      </c>
      <c r="Q119" t="s">
        <v>68</v>
      </c>
      <c r="R119">
        <f t="shared" ca="1" si="3"/>
        <v>48</v>
      </c>
      <c r="S119" t="s">
        <v>56</v>
      </c>
      <c r="T119" t="s">
        <v>43</v>
      </c>
      <c r="U119" t="s">
        <v>44</v>
      </c>
      <c r="V119" t="s">
        <v>165</v>
      </c>
      <c r="W119" t="s">
        <v>172</v>
      </c>
      <c r="X119">
        <f t="shared" ca="1" si="5"/>
        <v>5</v>
      </c>
      <c r="Z119" t="str">
        <f t="shared" ca="1" si="4"/>
        <v/>
      </c>
      <c r="AA119" t="s">
        <v>47</v>
      </c>
      <c r="AB119" t="s">
        <v>48</v>
      </c>
      <c r="AC119" t="s">
        <v>70</v>
      </c>
      <c r="AD119">
        <v>20</v>
      </c>
      <c r="AE119" t="s">
        <v>50</v>
      </c>
      <c r="AF119" t="s">
        <v>63</v>
      </c>
      <c r="AG119">
        <v>4.0999999999999996</v>
      </c>
      <c r="AH119">
        <v>5</v>
      </c>
      <c r="AI119">
        <v>0</v>
      </c>
      <c r="AJ119" t="s">
        <v>504</v>
      </c>
      <c r="AK119">
        <v>0</v>
      </c>
      <c r="AL119">
        <v>3</v>
      </c>
    </row>
    <row r="120" spans="1:38" x14ac:dyDescent="0.25">
      <c r="A120" t="s">
        <v>505</v>
      </c>
      <c r="B120">
        <v>10098</v>
      </c>
      <c r="C120">
        <v>0</v>
      </c>
      <c r="D120">
        <v>2</v>
      </c>
      <c r="E120">
        <v>1</v>
      </c>
      <c r="F120">
        <v>1</v>
      </c>
      <c r="G120">
        <v>5</v>
      </c>
      <c r="H120">
        <v>3</v>
      </c>
      <c r="I120">
        <v>0</v>
      </c>
      <c r="J120">
        <v>62957</v>
      </c>
      <c r="K120">
        <v>0</v>
      </c>
      <c r="L120">
        <v>18</v>
      </c>
      <c r="M120" t="s">
        <v>198</v>
      </c>
      <c r="N120" t="e" vm="1">
        <v>#VALUE!</v>
      </c>
      <c r="O120">
        <v>1752</v>
      </c>
      <c r="P120" t="s">
        <v>506</v>
      </c>
      <c r="Q120" t="s">
        <v>41</v>
      </c>
      <c r="R120">
        <f t="shared" ca="1" si="3"/>
        <v>38</v>
      </c>
      <c r="S120" t="s">
        <v>79</v>
      </c>
      <c r="T120" t="s">
        <v>43</v>
      </c>
      <c r="U120" t="s">
        <v>44</v>
      </c>
      <c r="V120" t="s">
        <v>45</v>
      </c>
      <c r="W120" t="s">
        <v>507</v>
      </c>
      <c r="X120">
        <f t="shared" ca="1" si="5"/>
        <v>3</v>
      </c>
      <c r="Z120" t="str">
        <f t="shared" ca="1" si="4"/>
        <v/>
      </c>
      <c r="AA120" t="s">
        <v>47</v>
      </c>
      <c r="AB120" t="s">
        <v>48</v>
      </c>
      <c r="AC120" t="s">
        <v>201</v>
      </c>
      <c r="AD120">
        <v>2</v>
      </c>
      <c r="AE120" t="s">
        <v>102</v>
      </c>
      <c r="AF120" t="s">
        <v>63</v>
      </c>
      <c r="AG120">
        <v>4.63</v>
      </c>
      <c r="AH120">
        <v>3</v>
      </c>
      <c r="AI120">
        <v>0</v>
      </c>
      <c r="AJ120" t="s">
        <v>382</v>
      </c>
      <c r="AK120">
        <v>0</v>
      </c>
      <c r="AL120">
        <v>2</v>
      </c>
    </row>
    <row r="121" spans="1:38" x14ac:dyDescent="0.25">
      <c r="A121" t="s">
        <v>508</v>
      </c>
      <c r="B121">
        <v>10059</v>
      </c>
      <c r="C121">
        <v>0</v>
      </c>
      <c r="D121">
        <v>2</v>
      </c>
      <c r="E121">
        <v>0</v>
      </c>
      <c r="F121">
        <v>5</v>
      </c>
      <c r="G121">
        <v>5</v>
      </c>
      <c r="H121">
        <v>3</v>
      </c>
      <c r="I121">
        <v>0</v>
      </c>
      <c r="J121">
        <v>63813</v>
      </c>
      <c r="K121">
        <v>1</v>
      </c>
      <c r="L121">
        <v>19</v>
      </c>
      <c r="M121" t="s">
        <v>39</v>
      </c>
      <c r="N121" t="e" vm="1">
        <v>#VALUE!</v>
      </c>
      <c r="O121">
        <v>2176</v>
      </c>
      <c r="P121" t="s">
        <v>509</v>
      </c>
      <c r="Q121" t="s">
        <v>68</v>
      </c>
      <c r="R121">
        <f t="shared" ca="1" si="3"/>
        <v>33</v>
      </c>
      <c r="S121" t="s">
        <v>79</v>
      </c>
      <c r="T121" t="s">
        <v>43</v>
      </c>
      <c r="U121" t="s">
        <v>44</v>
      </c>
      <c r="V121" t="s">
        <v>45</v>
      </c>
      <c r="W121" t="s">
        <v>146</v>
      </c>
      <c r="X121">
        <f t="shared" ca="1" si="5"/>
        <v>7</v>
      </c>
      <c r="Y121" t="s">
        <v>510</v>
      </c>
      <c r="Z121">
        <f t="shared" ca="1" si="4"/>
        <v>809</v>
      </c>
      <c r="AA121" t="s">
        <v>59</v>
      </c>
      <c r="AB121" t="s">
        <v>48</v>
      </c>
      <c r="AC121" t="s">
        <v>136</v>
      </c>
      <c r="AD121">
        <v>18</v>
      </c>
      <c r="AE121" t="s">
        <v>179</v>
      </c>
      <c r="AF121" t="s">
        <v>63</v>
      </c>
      <c r="AG121">
        <v>5</v>
      </c>
      <c r="AH121">
        <v>5</v>
      </c>
      <c r="AI121">
        <v>0</v>
      </c>
      <c r="AJ121" t="s">
        <v>511</v>
      </c>
      <c r="AK121">
        <v>0</v>
      </c>
      <c r="AL121">
        <v>17</v>
      </c>
    </row>
    <row r="122" spans="1:38" x14ac:dyDescent="0.25">
      <c r="A122" t="s">
        <v>512</v>
      </c>
      <c r="B122">
        <v>10234</v>
      </c>
      <c r="C122">
        <v>1</v>
      </c>
      <c r="D122">
        <v>1</v>
      </c>
      <c r="E122">
        <v>1</v>
      </c>
      <c r="F122">
        <v>1</v>
      </c>
      <c r="G122">
        <v>3</v>
      </c>
      <c r="H122">
        <v>3</v>
      </c>
      <c r="I122">
        <v>0</v>
      </c>
      <c r="J122">
        <v>99020</v>
      </c>
      <c r="K122">
        <v>0</v>
      </c>
      <c r="L122">
        <v>4</v>
      </c>
      <c r="M122" t="s">
        <v>359</v>
      </c>
      <c r="N122" t="e" vm="1">
        <v>#VALUE!</v>
      </c>
      <c r="O122">
        <v>2134</v>
      </c>
      <c r="P122" t="s">
        <v>513</v>
      </c>
      <c r="Q122" t="s">
        <v>41</v>
      </c>
      <c r="R122">
        <f t="shared" ca="1" si="3"/>
        <v>35</v>
      </c>
      <c r="S122" t="s">
        <v>56</v>
      </c>
      <c r="T122" t="s">
        <v>43</v>
      </c>
      <c r="U122" t="s">
        <v>44</v>
      </c>
      <c r="V122" t="s">
        <v>106</v>
      </c>
      <c r="W122" t="s">
        <v>514</v>
      </c>
      <c r="X122">
        <f t="shared" ca="1" si="5"/>
        <v>1</v>
      </c>
      <c r="Z122" t="str">
        <f t="shared" ca="1" si="4"/>
        <v/>
      </c>
      <c r="AA122" t="s">
        <v>47</v>
      </c>
      <c r="AB122" t="s">
        <v>60</v>
      </c>
      <c r="AC122" t="s">
        <v>362</v>
      </c>
      <c r="AD122">
        <v>13</v>
      </c>
      <c r="AE122" t="s">
        <v>62</v>
      </c>
      <c r="AF122" t="s">
        <v>63</v>
      </c>
      <c r="AG122">
        <v>4.2</v>
      </c>
      <c r="AH122">
        <v>5</v>
      </c>
      <c r="AI122">
        <v>5</v>
      </c>
      <c r="AJ122" t="s">
        <v>321</v>
      </c>
      <c r="AK122">
        <v>0</v>
      </c>
      <c r="AL122">
        <v>8</v>
      </c>
    </row>
    <row r="123" spans="1:38" x14ac:dyDescent="0.25">
      <c r="A123" t="s">
        <v>515</v>
      </c>
      <c r="B123">
        <v>10109</v>
      </c>
      <c r="C123">
        <v>0</v>
      </c>
      <c r="D123">
        <v>0</v>
      </c>
      <c r="E123">
        <v>1</v>
      </c>
      <c r="F123">
        <v>5</v>
      </c>
      <c r="G123">
        <v>6</v>
      </c>
      <c r="H123">
        <v>3</v>
      </c>
      <c r="I123">
        <v>0</v>
      </c>
      <c r="J123">
        <v>71707</v>
      </c>
      <c r="K123">
        <v>1</v>
      </c>
      <c r="L123">
        <v>3</v>
      </c>
      <c r="M123" t="s">
        <v>222</v>
      </c>
      <c r="N123" t="e" vm="11">
        <v>#VALUE!</v>
      </c>
      <c r="O123">
        <v>37129</v>
      </c>
      <c r="P123" t="s">
        <v>516</v>
      </c>
      <c r="Q123" t="s">
        <v>41</v>
      </c>
      <c r="R123">
        <f t="shared" ca="1" si="3"/>
        <v>50</v>
      </c>
      <c r="S123" t="s">
        <v>42</v>
      </c>
      <c r="T123" t="s">
        <v>43</v>
      </c>
      <c r="U123" t="s">
        <v>44</v>
      </c>
      <c r="V123" t="s">
        <v>134</v>
      </c>
      <c r="W123" t="s">
        <v>517</v>
      </c>
      <c r="X123">
        <f t="shared" ca="1" si="5"/>
        <v>6</v>
      </c>
      <c r="Y123" t="s">
        <v>518</v>
      </c>
      <c r="Z123">
        <f t="shared" ca="1" si="4"/>
        <v>625</v>
      </c>
      <c r="AA123" t="s">
        <v>59</v>
      </c>
      <c r="AB123" t="s">
        <v>226</v>
      </c>
      <c r="AC123" t="s">
        <v>227</v>
      </c>
      <c r="AD123">
        <v>17</v>
      </c>
      <c r="AE123" t="s">
        <v>50</v>
      </c>
      <c r="AF123" t="s">
        <v>63</v>
      </c>
      <c r="AG123">
        <v>4.5</v>
      </c>
      <c r="AH123">
        <v>5</v>
      </c>
      <c r="AI123">
        <v>0</v>
      </c>
      <c r="AJ123" t="s">
        <v>519</v>
      </c>
      <c r="AK123">
        <v>0</v>
      </c>
      <c r="AL123">
        <v>20</v>
      </c>
    </row>
    <row r="124" spans="1:38" x14ac:dyDescent="0.25">
      <c r="A124" t="s">
        <v>520</v>
      </c>
      <c r="B124">
        <v>10125</v>
      </c>
      <c r="C124">
        <v>1</v>
      </c>
      <c r="D124">
        <v>1</v>
      </c>
      <c r="E124">
        <v>0</v>
      </c>
      <c r="F124">
        <v>1</v>
      </c>
      <c r="G124">
        <v>5</v>
      </c>
      <c r="H124">
        <v>3</v>
      </c>
      <c r="I124">
        <v>0</v>
      </c>
      <c r="J124">
        <v>54828</v>
      </c>
      <c r="K124">
        <v>0</v>
      </c>
      <c r="L124">
        <v>19</v>
      </c>
      <c r="M124" t="s">
        <v>39</v>
      </c>
      <c r="N124" t="e" vm="1">
        <v>#VALUE!</v>
      </c>
      <c r="O124">
        <v>2127</v>
      </c>
      <c r="P124" t="s">
        <v>521</v>
      </c>
      <c r="Q124" t="s">
        <v>68</v>
      </c>
      <c r="R124">
        <f t="shared" ca="1" si="3"/>
        <v>42</v>
      </c>
      <c r="S124" t="s">
        <v>56</v>
      </c>
      <c r="T124" t="s">
        <v>43</v>
      </c>
      <c r="U124" t="s">
        <v>44</v>
      </c>
      <c r="V124" t="s">
        <v>45</v>
      </c>
      <c r="W124" t="s">
        <v>522</v>
      </c>
      <c r="X124">
        <f t="shared" ca="1" si="5"/>
        <v>7</v>
      </c>
      <c r="Z124" t="str">
        <f t="shared" ca="1" si="4"/>
        <v/>
      </c>
      <c r="AA124" t="s">
        <v>47</v>
      </c>
      <c r="AB124" t="s">
        <v>48</v>
      </c>
      <c r="AC124" t="s">
        <v>49</v>
      </c>
      <c r="AD124">
        <v>22</v>
      </c>
      <c r="AE124" t="s">
        <v>83</v>
      </c>
      <c r="AF124" t="s">
        <v>63</v>
      </c>
      <c r="AG124">
        <v>4.2</v>
      </c>
      <c r="AH124">
        <v>4</v>
      </c>
      <c r="AI124">
        <v>0</v>
      </c>
      <c r="AJ124" t="s">
        <v>242</v>
      </c>
      <c r="AK124">
        <v>0</v>
      </c>
      <c r="AL124">
        <v>13</v>
      </c>
    </row>
    <row r="125" spans="1:38" x14ac:dyDescent="0.25">
      <c r="A125" t="s">
        <v>523</v>
      </c>
      <c r="B125">
        <v>10074</v>
      </c>
      <c r="C125">
        <v>0</v>
      </c>
      <c r="D125">
        <v>0</v>
      </c>
      <c r="E125">
        <v>1</v>
      </c>
      <c r="F125">
        <v>1</v>
      </c>
      <c r="G125">
        <v>5</v>
      </c>
      <c r="H125">
        <v>3</v>
      </c>
      <c r="I125">
        <v>0</v>
      </c>
      <c r="J125">
        <v>64246</v>
      </c>
      <c r="K125">
        <v>0</v>
      </c>
      <c r="L125">
        <v>20</v>
      </c>
      <c r="M125" t="s">
        <v>66</v>
      </c>
      <c r="N125" t="e" vm="1">
        <v>#VALUE!</v>
      </c>
      <c r="O125">
        <v>2155</v>
      </c>
      <c r="P125" t="s">
        <v>524</v>
      </c>
      <c r="Q125" t="s">
        <v>41</v>
      </c>
      <c r="R125">
        <f t="shared" ca="1" si="3"/>
        <v>28</v>
      </c>
      <c r="S125" t="s">
        <v>42</v>
      </c>
      <c r="T125" t="s">
        <v>43</v>
      </c>
      <c r="U125" t="s">
        <v>119</v>
      </c>
      <c r="V125" t="s">
        <v>45</v>
      </c>
      <c r="W125" t="s">
        <v>219</v>
      </c>
      <c r="X125">
        <f t="shared" ca="1" si="5"/>
        <v>5</v>
      </c>
      <c r="Z125" t="str">
        <f t="shared" ca="1" si="4"/>
        <v/>
      </c>
      <c r="AA125" t="s">
        <v>47</v>
      </c>
      <c r="AB125" t="s">
        <v>48</v>
      </c>
      <c r="AC125" t="s">
        <v>136</v>
      </c>
      <c r="AD125">
        <v>18</v>
      </c>
      <c r="AE125" t="s">
        <v>50</v>
      </c>
      <c r="AF125" t="s">
        <v>63</v>
      </c>
      <c r="AG125">
        <v>5</v>
      </c>
      <c r="AH125">
        <v>3</v>
      </c>
      <c r="AI125">
        <v>0</v>
      </c>
      <c r="AJ125" t="s">
        <v>525</v>
      </c>
      <c r="AK125">
        <v>0</v>
      </c>
      <c r="AL125">
        <v>20</v>
      </c>
    </row>
    <row r="126" spans="1:38" x14ac:dyDescent="0.25">
      <c r="A126" t="s">
        <v>526</v>
      </c>
      <c r="B126">
        <v>10097</v>
      </c>
      <c r="C126">
        <v>0</v>
      </c>
      <c r="D126">
        <v>0</v>
      </c>
      <c r="E126">
        <v>0</v>
      </c>
      <c r="F126">
        <v>5</v>
      </c>
      <c r="G126">
        <v>5</v>
      </c>
      <c r="H126">
        <v>3</v>
      </c>
      <c r="I126">
        <v>0</v>
      </c>
      <c r="J126">
        <v>52177</v>
      </c>
      <c r="K126">
        <v>1</v>
      </c>
      <c r="L126">
        <v>19</v>
      </c>
      <c r="M126" t="s">
        <v>39</v>
      </c>
      <c r="N126" t="e" vm="1">
        <v>#VALUE!</v>
      </c>
      <c r="O126">
        <v>2324</v>
      </c>
      <c r="P126" t="s">
        <v>527</v>
      </c>
      <c r="Q126" t="s">
        <v>68</v>
      </c>
      <c r="R126">
        <f t="shared" ca="1" si="3"/>
        <v>65</v>
      </c>
      <c r="S126" t="s">
        <v>42</v>
      </c>
      <c r="T126" t="s">
        <v>43</v>
      </c>
      <c r="U126" t="s">
        <v>44</v>
      </c>
      <c r="V126" t="s">
        <v>45</v>
      </c>
      <c r="W126" t="s">
        <v>87</v>
      </c>
      <c r="X126">
        <f t="shared" ca="1" si="5"/>
        <v>7</v>
      </c>
      <c r="Y126" t="s">
        <v>528</v>
      </c>
      <c r="Z126">
        <f t="shared" ca="1" si="4"/>
        <v>144</v>
      </c>
      <c r="AA126" t="s">
        <v>59</v>
      </c>
      <c r="AB126" t="s">
        <v>48</v>
      </c>
      <c r="AC126" t="s">
        <v>82</v>
      </c>
      <c r="AD126">
        <v>39</v>
      </c>
      <c r="AE126" t="s">
        <v>179</v>
      </c>
      <c r="AF126" t="s">
        <v>63</v>
      </c>
      <c r="AG126">
        <v>4.6399999999999997</v>
      </c>
      <c r="AH126">
        <v>4</v>
      </c>
      <c r="AI126">
        <v>0</v>
      </c>
      <c r="AJ126" t="s">
        <v>529</v>
      </c>
      <c r="AK126">
        <v>0</v>
      </c>
      <c r="AL126">
        <v>8</v>
      </c>
    </row>
    <row r="127" spans="1:38" x14ac:dyDescent="0.25">
      <c r="A127" t="s">
        <v>530</v>
      </c>
      <c r="B127">
        <v>10007</v>
      </c>
      <c r="C127">
        <v>1</v>
      </c>
      <c r="D127">
        <v>1</v>
      </c>
      <c r="E127">
        <v>0</v>
      </c>
      <c r="F127">
        <v>1</v>
      </c>
      <c r="G127">
        <v>5</v>
      </c>
      <c r="H127">
        <v>4</v>
      </c>
      <c r="I127">
        <v>0</v>
      </c>
      <c r="J127">
        <v>62065</v>
      </c>
      <c r="K127">
        <v>0</v>
      </c>
      <c r="L127">
        <v>19</v>
      </c>
      <c r="M127" t="s">
        <v>39</v>
      </c>
      <c r="N127" t="e" vm="1">
        <v>#VALUE!</v>
      </c>
      <c r="O127">
        <v>1886</v>
      </c>
      <c r="P127" t="s">
        <v>531</v>
      </c>
      <c r="Q127" t="s">
        <v>68</v>
      </c>
      <c r="R127">
        <f t="shared" ca="1" si="3"/>
        <v>43</v>
      </c>
      <c r="S127" t="s">
        <v>56</v>
      </c>
      <c r="T127" t="s">
        <v>43</v>
      </c>
      <c r="U127" t="s">
        <v>44</v>
      </c>
      <c r="V127" t="s">
        <v>45</v>
      </c>
      <c r="W127" t="s">
        <v>264</v>
      </c>
      <c r="X127">
        <f t="shared" ca="1" si="5"/>
        <v>4</v>
      </c>
      <c r="Z127" t="str">
        <f t="shared" ca="1" si="4"/>
        <v/>
      </c>
      <c r="AA127" t="s">
        <v>47</v>
      </c>
      <c r="AB127" t="s">
        <v>48</v>
      </c>
      <c r="AC127" t="s">
        <v>88</v>
      </c>
      <c r="AD127">
        <v>11</v>
      </c>
      <c r="AE127" t="s">
        <v>179</v>
      </c>
      <c r="AF127" t="s">
        <v>51</v>
      </c>
      <c r="AG127">
        <v>4.76</v>
      </c>
      <c r="AH127">
        <v>4</v>
      </c>
      <c r="AI127">
        <v>0</v>
      </c>
      <c r="AJ127" t="s">
        <v>504</v>
      </c>
      <c r="AK127">
        <v>0</v>
      </c>
      <c r="AL127">
        <v>5</v>
      </c>
    </row>
    <row r="128" spans="1:38" x14ac:dyDescent="0.25">
      <c r="A128" t="s">
        <v>532</v>
      </c>
      <c r="B128">
        <v>10129</v>
      </c>
      <c r="C128">
        <v>0</v>
      </c>
      <c r="D128">
        <v>0</v>
      </c>
      <c r="E128">
        <v>1</v>
      </c>
      <c r="F128">
        <v>1</v>
      </c>
      <c r="G128">
        <v>5</v>
      </c>
      <c r="H128">
        <v>3</v>
      </c>
      <c r="I128">
        <v>0</v>
      </c>
      <c r="J128">
        <v>46998</v>
      </c>
      <c r="K128">
        <v>0</v>
      </c>
      <c r="L128">
        <v>19</v>
      </c>
      <c r="M128" t="s">
        <v>39</v>
      </c>
      <c r="N128" t="e" vm="1">
        <v>#VALUE!</v>
      </c>
      <c r="O128">
        <v>2149</v>
      </c>
      <c r="P128" t="s">
        <v>533</v>
      </c>
      <c r="Q128" t="s">
        <v>41</v>
      </c>
      <c r="R128">
        <f t="shared" ca="1" si="3"/>
        <v>37</v>
      </c>
      <c r="S128" t="s">
        <v>42</v>
      </c>
      <c r="T128" t="s">
        <v>43</v>
      </c>
      <c r="U128" t="s">
        <v>44</v>
      </c>
      <c r="V128" t="s">
        <v>45</v>
      </c>
      <c r="W128" t="s">
        <v>534</v>
      </c>
      <c r="X128">
        <f t="shared" ca="1" si="5"/>
        <v>6</v>
      </c>
      <c r="Z128" t="str">
        <f t="shared" ca="1" si="4"/>
        <v/>
      </c>
      <c r="AA128" t="s">
        <v>47</v>
      </c>
      <c r="AB128" t="s">
        <v>48</v>
      </c>
      <c r="AC128" t="s">
        <v>101</v>
      </c>
      <c r="AD128">
        <v>19</v>
      </c>
      <c r="AE128" t="s">
        <v>83</v>
      </c>
      <c r="AF128" t="s">
        <v>63</v>
      </c>
      <c r="AG128">
        <v>4.17</v>
      </c>
      <c r="AH128">
        <v>4</v>
      </c>
      <c r="AI128">
        <v>0</v>
      </c>
      <c r="AJ128" t="s">
        <v>535</v>
      </c>
      <c r="AK128">
        <v>0</v>
      </c>
      <c r="AL128">
        <v>1</v>
      </c>
    </row>
    <row r="129" spans="1:38" x14ac:dyDescent="0.25">
      <c r="A129" t="s">
        <v>536</v>
      </c>
      <c r="B129">
        <v>10075</v>
      </c>
      <c r="C129">
        <v>0</v>
      </c>
      <c r="D129">
        <v>0</v>
      </c>
      <c r="E129">
        <v>0</v>
      </c>
      <c r="F129">
        <v>5</v>
      </c>
      <c r="G129">
        <v>5</v>
      </c>
      <c r="H129">
        <v>3</v>
      </c>
      <c r="I129">
        <v>0</v>
      </c>
      <c r="J129">
        <v>68099</v>
      </c>
      <c r="K129">
        <v>1</v>
      </c>
      <c r="L129">
        <v>20</v>
      </c>
      <c r="M129" t="s">
        <v>66</v>
      </c>
      <c r="N129" t="e" vm="1">
        <v>#VALUE!</v>
      </c>
      <c r="O129">
        <v>2021</v>
      </c>
      <c r="P129" t="s">
        <v>537</v>
      </c>
      <c r="Q129" t="s">
        <v>68</v>
      </c>
      <c r="R129">
        <f t="shared" ca="1" si="3"/>
        <v>44</v>
      </c>
      <c r="S129" t="s">
        <v>42</v>
      </c>
      <c r="T129" t="s">
        <v>43</v>
      </c>
      <c r="U129" t="s">
        <v>44</v>
      </c>
      <c r="V129" t="s">
        <v>45</v>
      </c>
      <c r="W129" t="s">
        <v>120</v>
      </c>
      <c r="X129">
        <f t="shared" ca="1" si="5"/>
        <v>8</v>
      </c>
      <c r="Y129" t="s">
        <v>538</v>
      </c>
      <c r="Z129">
        <f t="shared" ca="1" si="4"/>
        <v>82</v>
      </c>
      <c r="AA129" t="s">
        <v>59</v>
      </c>
      <c r="AB129" t="s">
        <v>48</v>
      </c>
      <c r="AC129" t="s">
        <v>136</v>
      </c>
      <c r="AD129">
        <v>18</v>
      </c>
      <c r="AE129" t="s">
        <v>179</v>
      </c>
      <c r="AF129" t="s">
        <v>63</v>
      </c>
      <c r="AG129">
        <v>5</v>
      </c>
      <c r="AH129">
        <v>3</v>
      </c>
      <c r="AI129">
        <v>0</v>
      </c>
      <c r="AJ129" t="s">
        <v>539</v>
      </c>
      <c r="AK129">
        <v>0</v>
      </c>
      <c r="AL129">
        <v>15</v>
      </c>
    </row>
    <row r="130" spans="1:38" x14ac:dyDescent="0.25">
      <c r="A130" t="s">
        <v>540</v>
      </c>
      <c r="B130">
        <v>10167</v>
      </c>
      <c r="C130">
        <v>1</v>
      </c>
      <c r="D130">
        <v>1</v>
      </c>
      <c r="E130">
        <v>1</v>
      </c>
      <c r="F130">
        <v>1</v>
      </c>
      <c r="G130">
        <v>6</v>
      </c>
      <c r="H130">
        <v>3</v>
      </c>
      <c r="I130">
        <v>0</v>
      </c>
      <c r="J130">
        <v>70545</v>
      </c>
      <c r="K130">
        <v>0</v>
      </c>
      <c r="L130">
        <v>3</v>
      </c>
      <c r="M130" t="s">
        <v>222</v>
      </c>
      <c r="N130" t="e" vm="12">
        <v>#VALUE!</v>
      </c>
      <c r="O130">
        <v>3062</v>
      </c>
      <c r="P130" t="s">
        <v>457</v>
      </c>
      <c r="Q130" t="s">
        <v>41</v>
      </c>
      <c r="R130">
        <f t="shared" ref="R130:R193" ca="1" si="6">DATEDIF(P130, TODAY(), "Y")</f>
        <v>36</v>
      </c>
      <c r="S130" t="s">
        <v>56</v>
      </c>
      <c r="T130" t="s">
        <v>43</v>
      </c>
      <c r="U130" t="s">
        <v>44</v>
      </c>
      <c r="V130" t="s">
        <v>501</v>
      </c>
      <c r="W130" t="s">
        <v>254</v>
      </c>
      <c r="X130">
        <f t="shared" ca="1" si="5"/>
        <v>4</v>
      </c>
      <c r="Z130" t="str">
        <f t="shared" ref="Z130:Z193" ca="1" si="7">IF(Y130="", "", IFERROR( DATEDIF(TODAY(), Y130, "D"), ""))</f>
        <v/>
      </c>
      <c r="AA130" t="s">
        <v>47</v>
      </c>
      <c r="AB130" t="s">
        <v>226</v>
      </c>
      <c r="AC130" t="s">
        <v>227</v>
      </c>
      <c r="AD130">
        <v>17</v>
      </c>
      <c r="AE130" t="s">
        <v>62</v>
      </c>
      <c r="AF130" t="s">
        <v>63</v>
      </c>
      <c r="AG130">
        <v>3.6</v>
      </c>
      <c r="AH130">
        <v>5</v>
      </c>
      <c r="AI130">
        <v>0</v>
      </c>
      <c r="AJ130" t="s">
        <v>245</v>
      </c>
      <c r="AK130">
        <v>0</v>
      </c>
      <c r="AL130">
        <v>9</v>
      </c>
    </row>
    <row r="131" spans="1:38" x14ac:dyDescent="0.25">
      <c r="A131" t="s">
        <v>541</v>
      </c>
      <c r="B131">
        <v>10195</v>
      </c>
      <c r="C131">
        <v>1</v>
      </c>
      <c r="D131">
        <v>1</v>
      </c>
      <c r="E131">
        <v>0</v>
      </c>
      <c r="F131">
        <v>5</v>
      </c>
      <c r="G131">
        <v>5</v>
      </c>
      <c r="H131">
        <v>3</v>
      </c>
      <c r="I131">
        <v>0</v>
      </c>
      <c r="J131">
        <v>63478</v>
      </c>
      <c r="K131">
        <v>1</v>
      </c>
      <c r="L131">
        <v>20</v>
      </c>
      <c r="M131" t="s">
        <v>66</v>
      </c>
      <c r="N131" t="e" vm="1">
        <v>#VALUE!</v>
      </c>
      <c r="O131">
        <v>2445</v>
      </c>
      <c r="P131" t="s">
        <v>542</v>
      </c>
      <c r="Q131" t="s">
        <v>68</v>
      </c>
      <c r="R131">
        <f t="shared" ca="1" si="6"/>
        <v>40</v>
      </c>
      <c r="S131" t="s">
        <v>56</v>
      </c>
      <c r="T131" t="s">
        <v>280</v>
      </c>
      <c r="U131" t="s">
        <v>44</v>
      </c>
      <c r="V131" t="s">
        <v>45</v>
      </c>
      <c r="W131" t="s">
        <v>224</v>
      </c>
      <c r="X131">
        <f t="shared" ref="X131:X194" ca="1" si="8">DATEDIF(W131, TODAY(), "Y")</f>
        <v>7</v>
      </c>
      <c r="Y131" t="s">
        <v>543</v>
      </c>
      <c r="Z131">
        <f t="shared" ca="1" si="7"/>
        <v>399</v>
      </c>
      <c r="AA131" t="s">
        <v>59</v>
      </c>
      <c r="AB131" t="s">
        <v>48</v>
      </c>
      <c r="AC131" t="s">
        <v>49</v>
      </c>
      <c r="AD131">
        <v>30</v>
      </c>
      <c r="AE131" t="s">
        <v>62</v>
      </c>
      <c r="AF131" t="s">
        <v>63</v>
      </c>
      <c r="AG131">
        <v>3.03</v>
      </c>
      <c r="AH131">
        <v>5</v>
      </c>
      <c r="AI131">
        <v>0</v>
      </c>
      <c r="AJ131" t="s">
        <v>231</v>
      </c>
      <c r="AK131">
        <v>0</v>
      </c>
      <c r="AL131">
        <v>16</v>
      </c>
    </row>
    <row r="132" spans="1:38" x14ac:dyDescent="0.25">
      <c r="A132" t="s">
        <v>544</v>
      </c>
      <c r="B132">
        <v>10112</v>
      </c>
      <c r="C132">
        <v>0</v>
      </c>
      <c r="D132">
        <v>0</v>
      </c>
      <c r="E132">
        <v>0</v>
      </c>
      <c r="F132">
        <v>1</v>
      </c>
      <c r="G132">
        <v>3</v>
      </c>
      <c r="H132">
        <v>3</v>
      </c>
      <c r="I132">
        <v>0</v>
      </c>
      <c r="J132">
        <v>97999</v>
      </c>
      <c r="K132">
        <v>0</v>
      </c>
      <c r="L132">
        <v>8</v>
      </c>
      <c r="M132" t="s">
        <v>158</v>
      </c>
      <c r="N132" t="e" vm="1">
        <v>#VALUE!</v>
      </c>
      <c r="O132">
        <v>2493</v>
      </c>
      <c r="P132" t="s">
        <v>545</v>
      </c>
      <c r="Q132" t="s">
        <v>68</v>
      </c>
      <c r="R132">
        <f t="shared" ca="1" si="6"/>
        <v>33</v>
      </c>
      <c r="S132" t="s">
        <v>42</v>
      </c>
      <c r="T132" t="s">
        <v>43</v>
      </c>
      <c r="U132" t="s">
        <v>44</v>
      </c>
      <c r="V132" t="s">
        <v>45</v>
      </c>
      <c r="W132" t="s">
        <v>57</v>
      </c>
      <c r="X132">
        <f t="shared" ca="1" si="8"/>
        <v>3</v>
      </c>
      <c r="Z132" t="str">
        <f t="shared" ca="1" si="7"/>
        <v/>
      </c>
      <c r="AA132" t="s">
        <v>47</v>
      </c>
      <c r="AB132" t="s">
        <v>60</v>
      </c>
      <c r="AC132" t="s">
        <v>61</v>
      </c>
      <c r="AD132">
        <v>4</v>
      </c>
      <c r="AE132" t="s">
        <v>62</v>
      </c>
      <c r="AF132" t="s">
        <v>63</v>
      </c>
      <c r="AG132">
        <v>4.4800000000000004</v>
      </c>
      <c r="AH132">
        <v>5</v>
      </c>
      <c r="AI132">
        <v>6</v>
      </c>
      <c r="AJ132" t="s">
        <v>76</v>
      </c>
      <c r="AK132">
        <v>0</v>
      </c>
      <c r="AL132">
        <v>4</v>
      </c>
    </row>
    <row r="133" spans="1:38" x14ac:dyDescent="0.25">
      <c r="A133" t="s">
        <v>546</v>
      </c>
      <c r="B133">
        <v>10272</v>
      </c>
      <c r="C133">
        <v>1</v>
      </c>
      <c r="D133">
        <v>1</v>
      </c>
      <c r="E133">
        <v>0</v>
      </c>
      <c r="F133">
        <v>1</v>
      </c>
      <c r="G133">
        <v>6</v>
      </c>
      <c r="H133">
        <v>3</v>
      </c>
      <c r="I133">
        <v>0</v>
      </c>
      <c r="J133">
        <v>180000</v>
      </c>
      <c r="K133">
        <v>0</v>
      </c>
      <c r="L133">
        <v>11</v>
      </c>
      <c r="M133" t="s">
        <v>547</v>
      </c>
      <c r="N133" t="e" vm="13">
        <v>#VALUE!</v>
      </c>
      <c r="O133">
        <v>2908</v>
      </c>
      <c r="P133" t="s">
        <v>548</v>
      </c>
      <c r="Q133" t="s">
        <v>68</v>
      </c>
      <c r="R133">
        <f t="shared" ca="1" si="6"/>
        <v>55</v>
      </c>
      <c r="S133" t="s">
        <v>56</v>
      </c>
      <c r="T133" t="s">
        <v>43</v>
      </c>
      <c r="U133" t="s">
        <v>44</v>
      </c>
      <c r="V133" t="s">
        <v>45</v>
      </c>
      <c r="W133" t="s">
        <v>328</v>
      </c>
      <c r="X133">
        <f t="shared" ca="1" si="8"/>
        <v>4</v>
      </c>
      <c r="Z133" t="str">
        <f t="shared" ca="1" si="7"/>
        <v/>
      </c>
      <c r="AA133" t="s">
        <v>47</v>
      </c>
      <c r="AB133" t="s">
        <v>226</v>
      </c>
      <c r="AC133" t="s">
        <v>201</v>
      </c>
      <c r="AD133">
        <v>2</v>
      </c>
      <c r="AE133" t="s">
        <v>50</v>
      </c>
      <c r="AF133" t="s">
        <v>63</v>
      </c>
      <c r="AG133">
        <v>4.5</v>
      </c>
      <c r="AH133">
        <v>4</v>
      </c>
      <c r="AI133">
        <v>0</v>
      </c>
      <c r="AJ133" t="s">
        <v>220</v>
      </c>
      <c r="AK133">
        <v>0</v>
      </c>
      <c r="AL133">
        <v>19</v>
      </c>
    </row>
    <row r="134" spans="1:38" x14ac:dyDescent="0.25">
      <c r="A134" t="s">
        <v>549</v>
      </c>
      <c r="B134">
        <v>10182</v>
      </c>
      <c r="C134">
        <v>1</v>
      </c>
      <c r="D134">
        <v>1</v>
      </c>
      <c r="E134">
        <v>0</v>
      </c>
      <c r="F134">
        <v>1</v>
      </c>
      <c r="G134">
        <v>1</v>
      </c>
      <c r="H134">
        <v>3</v>
      </c>
      <c r="I134">
        <v>0</v>
      </c>
      <c r="J134">
        <v>49920</v>
      </c>
      <c r="K134">
        <v>1</v>
      </c>
      <c r="L134">
        <v>2</v>
      </c>
      <c r="M134" t="s">
        <v>550</v>
      </c>
      <c r="N134" t="e" vm="1">
        <v>#VALUE!</v>
      </c>
      <c r="O134">
        <v>2170</v>
      </c>
      <c r="P134" t="s">
        <v>551</v>
      </c>
      <c r="Q134" t="s">
        <v>68</v>
      </c>
      <c r="R134">
        <f t="shared" ca="1" si="6"/>
        <v>34</v>
      </c>
      <c r="S134" t="s">
        <v>56</v>
      </c>
      <c r="T134" t="s">
        <v>43</v>
      </c>
      <c r="U134" t="s">
        <v>44</v>
      </c>
      <c r="V134" t="s">
        <v>106</v>
      </c>
      <c r="W134" t="s">
        <v>194</v>
      </c>
      <c r="X134">
        <f t="shared" ca="1" si="8"/>
        <v>4</v>
      </c>
      <c r="Y134" t="s">
        <v>552</v>
      </c>
      <c r="Z134">
        <f t="shared" ca="1" si="7"/>
        <v>603</v>
      </c>
      <c r="AA134" t="s">
        <v>59</v>
      </c>
      <c r="AB134" t="s">
        <v>195</v>
      </c>
      <c r="AC134" t="s">
        <v>196</v>
      </c>
      <c r="AD134">
        <v>1</v>
      </c>
      <c r="AE134" t="s">
        <v>62</v>
      </c>
      <c r="AF134" t="s">
        <v>63</v>
      </c>
      <c r="AG134">
        <v>3.24</v>
      </c>
      <c r="AH134">
        <v>3</v>
      </c>
      <c r="AI134">
        <v>4</v>
      </c>
      <c r="AJ134" t="s">
        <v>553</v>
      </c>
      <c r="AK134">
        <v>0</v>
      </c>
      <c r="AL134">
        <v>6</v>
      </c>
    </row>
    <row r="135" spans="1:38" x14ac:dyDescent="0.25">
      <c r="A135" t="s">
        <v>554</v>
      </c>
      <c r="B135">
        <v>10248</v>
      </c>
      <c r="C135">
        <v>0</v>
      </c>
      <c r="D135">
        <v>0</v>
      </c>
      <c r="E135">
        <v>0</v>
      </c>
      <c r="F135">
        <v>1</v>
      </c>
      <c r="G135">
        <v>5</v>
      </c>
      <c r="H135">
        <v>3</v>
      </c>
      <c r="I135">
        <v>0</v>
      </c>
      <c r="J135">
        <v>55425</v>
      </c>
      <c r="K135">
        <v>0</v>
      </c>
      <c r="L135">
        <v>19</v>
      </c>
      <c r="M135" t="s">
        <v>39</v>
      </c>
      <c r="N135" t="e" vm="1">
        <v>#VALUE!</v>
      </c>
      <c r="O135">
        <v>2176</v>
      </c>
      <c r="P135" t="s">
        <v>555</v>
      </c>
      <c r="Q135" t="s">
        <v>68</v>
      </c>
      <c r="R135">
        <f t="shared" ca="1" si="6"/>
        <v>38</v>
      </c>
      <c r="S135" t="s">
        <v>42</v>
      </c>
      <c r="T135" t="s">
        <v>43</v>
      </c>
      <c r="U135" t="s">
        <v>44</v>
      </c>
      <c r="V135" t="s">
        <v>45</v>
      </c>
      <c r="W135" t="s">
        <v>135</v>
      </c>
      <c r="X135">
        <f t="shared" ca="1" si="8"/>
        <v>6</v>
      </c>
      <c r="Z135" t="str">
        <f t="shared" ca="1" si="7"/>
        <v/>
      </c>
      <c r="AA135" t="s">
        <v>47</v>
      </c>
      <c r="AB135" t="s">
        <v>48</v>
      </c>
      <c r="AC135" t="s">
        <v>101</v>
      </c>
      <c r="AD135">
        <v>19</v>
      </c>
      <c r="AE135" t="s">
        <v>50</v>
      </c>
      <c r="AF135" t="s">
        <v>63</v>
      </c>
      <c r="AG135">
        <v>4.8</v>
      </c>
      <c r="AH135">
        <v>4</v>
      </c>
      <c r="AI135">
        <v>0</v>
      </c>
      <c r="AJ135" t="s">
        <v>89</v>
      </c>
      <c r="AK135">
        <v>0</v>
      </c>
      <c r="AL135">
        <v>4</v>
      </c>
    </row>
    <row r="136" spans="1:38" x14ac:dyDescent="0.25">
      <c r="A136" t="s">
        <v>556</v>
      </c>
      <c r="B136">
        <v>10201</v>
      </c>
      <c r="C136">
        <v>0</v>
      </c>
      <c r="D136">
        <v>0</v>
      </c>
      <c r="E136">
        <v>0</v>
      </c>
      <c r="F136">
        <v>2</v>
      </c>
      <c r="G136">
        <v>5</v>
      </c>
      <c r="H136">
        <v>3</v>
      </c>
      <c r="I136">
        <v>0</v>
      </c>
      <c r="J136">
        <v>69340</v>
      </c>
      <c r="K136">
        <v>0</v>
      </c>
      <c r="L136">
        <v>20</v>
      </c>
      <c r="M136" t="s">
        <v>66</v>
      </c>
      <c r="N136" t="e" vm="1">
        <v>#VALUE!</v>
      </c>
      <c r="O136">
        <v>2021</v>
      </c>
      <c r="P136" t="s">
        <v>557</v>
      </c>
      <c r="Q136" t="s">
        <v>68</v>
      </c>
      <c r="R136">
        <f t="shared" ca="1" si="6"/>
        <v>37</v>
      </c>
      <c r="S136" t="s">
        <v>42</v>
      </c>
      <c r="T136" t="s">
        <v>43</v>
      </c>
      <c r="U136" t="s">
        <v>44</v>
      </c>
      <c r="V136" t="s">
        <v>45</v>
      </c>
      <c r="W136" t="s">
        <v>558</v>
      </c>
      <c r="X136">
        <f t="shared" ca="1" si="8"/>
        <v>2</v>
      </c>
      <c r="Z136" t="str">
        <f t="shared" ca="1" si="7"/>
        <v/>
      </c>
      <c r="AA136" t="s">
        <v>47</v>
      </c>
      <c r="AB136" t="s">
        <v>48</v>
      </c>
      <c r="AC136" t="s">
        <v>75</v>
      </c>
      <c r="AD136">
        <v>16</v>
      </c>
      <c r="AE136" t="s">
        <v>50</v>
      </c>
      <c r="AF136" t="s">
        <v>63</v>
      </c>
      <c r="AG136">
        <v>3</v>
      </c>
      <c r="AH136">
        <v>5</v>
      </c>
      <c r="AI136">
        <v>0</v>
      </c>
      <c r="AJ136" t="s">
        <v>373</v>
      </c>
      <c r="AK136">
        <v>0</v>
      </c>
      <c r="AL136">
        <v>4</v>
      </c>
    </row>
    <row r="137" spans="1:38" x14ac:dyDescent="0.25">
      <c r="A137" t="s">
        <v>559</v>
      </c>
      <c r="B137">
        <v>10214</v>
      </c>
      <c r="C137">
        <v>0</v>
      </c>
      <c r="D137">
        <v>3</v>
      </c>
      <c r="E137">
        <v>0</v>
      </c>
      <c r="F137">
        <v>2</v>
      </c>
      <c r="G137">
        <v>5</v>
      </c>
      <c r="H137">
        <v>3</v>
      </c>
      <c r="I137">
        <v>0</v>
      </c>
      <c r="J137">
        <v>64995</v>
      </c>
      <c r="K137">
        <v>0</v>
      </c>
      <c r="L137">
        <v>20</v>
      </c>
      <c r="M137" t="s">
        <v>66</v>
      </c>
      <c r="N137" t="e" vm="1">
        <v>#VALUE!</v>
      </c>
      <c r="O137">
        <v>2351</v>
      </c>
      <c r="P137" t="s">
        <v>560</v>
      </c>
      <c r="Q137" t="s">
        <v>68</v>
      </c>
      <c r="R137">
        <f t="shared" ca="1" si="6"/>
        <v>27</v>
      </c>
      <c r="S137" t="s">
        <v>218</v>
      </c>
      <c r="T137" t="s">
        <v>43</v>
      </c>
      <c r="U137" t="s">
        <v>44</v>
      </c>
      <c r="V137" t="s">
        <v>45</v>
      </c>
      <c r="W137" t="s">
        <v>561</v>
      </c>
      <c r="X137">
        <f t="shared" ca="1" si="8"/>
        <v>3</v>
      </c>
      <c r="Z137" t="str">
        <f t="shared" ca="1" si="7"/>
        <v/>
      </c>
      <c r="AA137" t="s">
        <v>47</v>
      </c>
      <c r="AB137" t="s">
        <v>48</v>
      </c>
      <c r="AC137" t="s">
        <v>82</v>
      </c>
      <c r="AE137" t="s">
        <v>62</v>
      </c>
      <c r="AF137" t="s">
        <v>63</v>
      </c>
      <c r="AG137">
        <v>4.5</v>
      </c>
      <c r="AH137">
        <v>3</v>
      </c>
      <c r="AI137">
        <v>0</v>
      </c>
      <c r="AJ137" t="s">
        <v>137</v>
      </c>
      <c r="AK137">
        <v>0</v>
      </c>
      <c r="AL137">
        <v>6</v>
      </c>
    </row>
    <row r="138" spans="1:38" x14ac:dyDescent="0.25">
      <c r="A138" t="s">
        <v>562</v>
      </c>
      <c r="B138">
        <v>10160</v>
      </c>
      <c r="C138">
        <v>0</v>
      </c>
      <c r="D138">
        <v>2</v>
      </c>
      <c r="E138">
        <v>0</v>
      </c>
      <c r="F138">
        <v>5</v>
      </c>
      <c r="G138">
        <v>5</v>
      </c>
      <c r="H138">
        <v>3</v>
      </c>
      <c r="I138">
        <v>0</v>
      </c>
      <c r="J138">
        <v>68182</v>
      </c>
      <c r="K138">
        <v>1</v>
      </c>
      <c r="L138">
        <v>20</v>
      </c>
      <c r="M138" t="s">
        <v>66</v>
      </c>
      <c r="N138" t="e" vm="1">
        <v>#VALUE!</v>
      </c>
      <c r="O138">
        <v>1742</v>
      </c>
      <c r="P138" t="s">
        <v>563</v>
      </c>
      <c r="Q138" t="s">
        <v>68</v>
      </c>
      <c r="R138">
        <f t="shared" ca="1" si="6"/>
        <v>46</v>
      </c>
      <c r="S138" t="s">
        <v>79</v>
      </c>
      <c r="T138" t="s">
        <v>43</v>
      </c>
      <c r="U138" t="s">
        <v>44</v>
      </c>
      <c r="V138" t="s">
        <v>45</v>
      </c>
      <c r="W138" t="s">
        <v>146</v>
      </c>
      <c r="X138">
        <f t="shared" ca="1" si="8"/>
        <v>7</v>
      </c>
      <c r="Y138" t="s">
        <v>127</v>
      </c>
      <c r="Z138">
        <f t="shared" ca="1" si="7"/>
        <v>110</v>
      </c>
      <c r="AA138" t="s">
        <v>59</v>
      </c>
      <c r="AB138" t="s">
        <v>48</v>
      </c>
      <c r="AC138" t="s">
        <v>88</v>
      </c>
      <c r="AD138">
        <v>11</v>
      </c>
      <c r="AE138" t="s">
        <v>83</v>
      </c>
      <c r="AF138" t="s">
        <v>63</v>
      </c>
      <c r="AG138">
        <v>3.72</v>
      </c>
      <c r="AH138">
        <v>3</v>
      </c>
      <c r="AI138">
        <v>0</v>
      </c>
      <c r="AJ138" t="s">
        <v>519</v>
      </c>
      <c r="AK138">
        <v>0</v>
      </c>
      <c r="AL138">
        <v>18</v>
      </c>
    </row>
    <row r="139" spans="1:38" x14ac:dyDescent="0.25">
      <c r="A139" t="s">
        <v>564</v>
      </c>
      <c r="B139">
        <v>10289</v>
      </c>
      <c r="C139">
        <v>1</v>
      </c>
      <c r="D139">
        <v>1</v>
      </c>
      <c r="E139">
        <v>1</v>
      </c>
      <c r="F139">
        <v>5</v>
      </c>
      <c r="G139">
        <v>5</v>
      </c>
      <c r="H139">
        <v>2</v>
      </c>
      <c r="I139">
        <v>0</v>
      </c>
      <c r="J139">
        <v>83082</v>
      </c>
      <c r="K139">
        <v>1</v>
      </c>
      <c r="L139">
        <v>18</v>
      </c>
      <c r="M139" t="s">
        <v>198</v>
      </c>
      <c r="N139" t="e" vm="1">
        <v>#VALUE!</v>
      </c>
      <c r="O139">
        <v>2128</v>
      </c>
      <c r="P139" t="s">
        <v>565</v>
      </c>
      <c r="Q139" t="s">
        <v>41</v>
      </c>
      <c r="R139">
        <f t="shared" ca="1" si="6"/>
        <v>41</v>
      </c>
      <c r="S139" t="s">
        <v>56</v>
      </c>
      <c r="T139" t="s">
        <v>43</v>
      </c>
      <c r="U139" t="s">
        <v>44</v>
      </c>
      <c r="V139" t="s">
        <v>165</v>
      </c>
      <c r="W139" t="s">
        <v>146</v>
      </c>
      <c r="X139">
        <f t="shared" ca="1" si="8"/>
        <v>7</v>
      </c>
      <c r="Y139" t="s">
        <v>566</v>
      </c>
      <c r="Z139">
        <f t="shared" ca="1" si="7"/>
        <v>797</v>
      </c>
      <c r="AA139" t="s">
        <v>59</v>
      </c>
      <c r="AB139" t="s">
        <v>48</v>
      </c>
      <c r="AC139" t="s">
        <v>201</v>
      </c>
      <c r="AD139">
        <v>2</v>
      </c>
      <c r="AE139" t="s">
        <v>62</v>
      </c>
      <c r="AF139" t="s">
        <v>180</v>
      </c>
      <c r="AG139">
        <v>2.34</v>
      </c>
      <c r="AH139">
        <v>2</v>
      </c>
      <c r="AI139">
        <v>0</v>
      </c>
      <c r="AJ139" t="s">
        <v>567</v>
      </c>
      <c r="AK139">
        <v>3</v>
      </c>
      <c r="AL139">
        <v>4</v>
      </c>
    </row>
    <row r="140" spans="1:38" x14ac:dyDescent="0.25">
      <c r="A140" t="s">
        <v>568</v>
      </c>
      <c r="B140">
        <v>10139</v>
      </c>
      <c r="C140">
        <v>0</v>
      </c>
      <c r="D140">
        <v>0</v>
      </c>
      <c r="E140">
        <v>0</v>
      </c>
      <c r="F140">
        <v>1</v>
      </c>
      <c r="G140">
        <v>5</v>
      </c>
      <c r="H140">
        <v>3</v>
      </c>
      <c r="I140">
        <v>0</v>
      </c>
      <c r="J140">
        <v>51908</v>
      </c>
      <c r="K140">
        <v>0</v>
      </c>
      <c r="L140">
        <v>19</v>
      </c>
      <c r="M140" t="s">
        <v>39</v>
      </c>
      <c r="N140" t="e" vm="1">
        <v>#VALUE!</v>
      </c>
      <c r="O140">
        <v>1775</v>
      </c>
      <c r="P140" t="s">
        <v>569</v>
      </c>
      <c r="Q140" t="s">
        <v>68</v>
      </c>
      <c r="R140">
        <f t="shared" ca="1" si="6"/>
        <v>34</v>
      </c>
      <c r="S140" t="s">
        <v>42</v>
      </c>
      <c r="T140" t="s">
        <v>43</v>
      </c>
      <c r="U140" t="s">
        <v>44</v>
      </c>
      <c r="V140" t="s">
        <v>45</v>
      </c>
      <c r="W140" t="s">
        <v>172</v>
      </c>
      <c r="X140">
        <f t="shared" ca="1" si="8"/>
        <v>5</v>
      </c>
      <c r="Z140" t="str">
        <f t="shared" ca="1" si="7"/>
        <v/>
      </c>
      <c r="AA140" t="s">
        <v>47</v>
      </c>
      <c r="AB140" t="s">
        <v>48</v>
      </c>
      <c r="AC140" t="s">
        <v>108</v>
      </c>
      <c r="AD140">
        <v>12</v>
      </c>
      <c r="AE140" t="s">
        <v>62</v>
      </c>
      <c r="AF140" t="s">
        <v>63</v>
      </c>
      <c r="AG140">
        <v>3.99</v>
      </c>
      <c r="AH140">
        <v>3</v>
      </c>
      <c r="AI140">
        <v>0</v>
      </c>
      <c r="AJ140" t="s">
        <v>152</v>
      </c>
      <c r="AK140">
        <v>0</v>
      </c>
      <c r="AL140">
        <v>14</v>
      </c>
    </row>
    <row r="141" spans="1:38" x14ac:dyDescent="0.25">
      <c r="A141" t="s">
        <v>570</v>
      </c>
      <c r="B141">
        <v>10227</v>
      </c>
      <c r="C141">
        <v>0</v>
      </c>
      <c r="D141">
        <v>0</v>
      </c>
      <c r="E141">
        <v>0</v>
      </c>
      <c r="F141">
        <v>1</v>
      </c>
      <c r="G141">
        <v>5</v>
      </c>
      <c r="H141">
        <v>3</v>
      </c>
      <c r="I141">
        <v>0</v>
      </c>
      <c r="J141">
        <v>61242</v>
      </c>
      <c r="K141">
        <v>0</v>
      </c>
      <c r="L141">
        <v>19</v>
      </c>
      <c r="M141" t="s">
        <v>39</v>
      </c>
      <c r="N141" t="e" vm="1">
        <v>#VALUE!</v>
      </c>
      <c r="O141">
        <v>2081</v>
      </c>
      <c r="P141" t="s">
        <v>571</v>
      </c>
      <c r="Q141" t="s">
        <v>68</v>
      </c>
      <c r="R141">
        <f t="shared" ca="1" si="6"/>
        <v>48</v>
      </c>
      <c r="S141" t="s">
        <v>42</v>
      </c>
      <c r="T141" t="s">
        <v>43</v>
      </c>
      <c r="U141" t="s">
        <v>44</v>
      </c>
      <c r="V141" t="s">
        <v>106</v>
      </c>
      <c r="W141" t="s">
        <v>572</v>
      </c>
      <c r="X141">
        <f t="shared" ca="1" si="8"/>
        <v>6</v>
      </c>
      <c r="Z141" t="str">
        <f t="shared" ca="1" si="7"/>
        <v/>
      </c>
      <c r="AA141" t="s">
        <v>47</v>
      </c>
      <c r="AB141" t="s">
        <v>48</v>
      </c>
      <c r="AC141" t="s">
        <v>122</v>
      </c>
      <c r="AD141">
        <v>14</v>
      </c>
      <c r="AE141" t="s">
        <v>50</v>
      </c>
      <c r="AF141" t="s">
        <v>63</v>
      </c>
      <c r="AG141">
        <v>4.0999999999999996</v>
      </c>
      <c r="AH141">
        <v>3</v>
      </c>
      <c r="AI141">
        <v>0</v>
      </c>
      <c r="AJ141" t="s">
        <v>52</v>
      </c>
      <c r="AK141">
        <v>0</v>
      </c>
      <c r="AL141">
        <v>7</v>
      </c>
    </row>
    <row r="142" spans="1:38" x14ac:dyDescent="0.25">
      <c r="A142" t="s">
        <v>573</v>
      </c>
      <c r="B142">
        <v>10236</v>
      </c>
      <c r="C142">
        <v>0</v>
      </c>
      <c r="D142">
        <v>2</v>
      </c>
      <c r="E142">
        <v>0</v>
      </c>
      <c r="F142">
        <v>1</v>
      </c>
      <c r="G142">
        <v>5</v>
      </c>
      <c r="H142">
        <v>3</v>
      </c>
      <c r="I142">
        <v>0</v>
      </c>
      <c r="J142">
        <v>45069</v>
      </c>
      <c r="K142">
        <v>0</v>
      </c>
      <c r="L142">
        <v>19</v>
      </c>
      <c r="M142" t="s">
        <v>39</v>
      </c>
      <c r="N142" t="e" vm="1">
        <v>#VALUE!</v>
      </c>
      <c r="O142">
        <v>1778</v>
      </c>
      <c r="P142" t="s">
        <v>574</v>
      </c>
      <c r="Q142" t="s">
        <v>68</v>
      </c>
      <c r="R142">
        <f t="shared" ca="1" si="6"/>
        <v>51</v>
      </c>
      <c r="S142" t="s">
        <v>79</v>
      </c>
      <c r="T142" t="s">
        <v>43</v>
      </c>
      <c r="U142" t="s">
        <v>44</v>
      </c>
      <c r="V142" t="s">
        <v>45</v>
      </c>
      <c r="W142" t="s">
        <v>100</v>
      </c>
      <c r="X142">
        <f t="shared" ca="1" si="8"/>
        <v>5</v>
      </c>
      <c r="Z142" t="str">
        <f t="shared" ca="1" si="7"/>
        <v/>
      </c>
      <c r="AA142" t="s">
        <v>47</v>
      </c>
      <c r="AB142" t="s">
        <v>48</v>
      </c>
      <c r="AC142" t="s">
        <v>70</v>
      </c>
      <c r="AD142">
        <v>20</v>
      </c>
      <c r="AE142" t="s">
        <v>102</v>
      </c>
      <c r="AF142" t="s">
        <v>63</v>
      </c>
      <c r="AG142">
        <v>4.3</v>
      </c>
      <c r="AH142">
        <v>5</v>
      </c>
      <c r="AI142">
        <v>0</v>
      </c>
      <c r="AJ142" t="s">
        <v>242</v>
      </c>
      <c r="AK142">
        <v>0</v>
      </c>
      <c r="AL142">
        <v>7</v>
      </c>
    </row>
    <row r="143" spans="1:38" x14ac:dyDescent="0.25">
      <c r="A143" t="s">
        <v>575</v>
      </c>
      <c r="B143">
        <v>10009</v>
      </c>
      <c r="C143">
        <v>0</v>
      </c>
      <c r="D143">
        <v>2</v>
      </c>
      <c r="E143">
        <v>0</v>
      </c>
      <c r="F143">
        <v>1</v>
      </c>
      <c r="G143">
        <v>5</v>
      </c>
      <c r="H143">
        <v>4</v>
      </c>
      <c r="I143">
        <v>0</v>
      </c>
      <c r="J143">
        <v>60724</v>
      </c>
      <c r="K143">
        <v>0</v>
      </c>
      <c r="L143">
        <v>20</v>
      </c>
      <c r="M143" t="s">
        <v>66</v>
      </c>
      <c r="N143" t="e" vm="1">
        <v>#VALUE!</v>
      </c>
      <c r="O143">
        <v>1821</v>
      </c>
      <c r="P143" t="s">
        <v>576</v>
      </c>
      <c r="Q143" t="s">
        <v>68</v>
      </c>
      <c r="R143">
        <f t="shared" ca="1" si="6"/>
        <v>36</v>
      </c>
      <c r="S143" t="s">
        <v>79</v>
      </c>
      <c r="T143" t="s">
        <v>43</v>
      </c>
      <c r="U143" t="s">
        <v>44</v>
      </c>
      <c r="V143" t="s">
        <v>501</v>
      </c>
      <c r="W143" t="s">
        <v>46</v>
      </c>
      <c r="X143">
        <f t="shared" ca="1" si="8"/>
        <v>7</v>
      </c>
      <c r="Z143" t="str">
        <f t="shared" ca="1" si="7"/>
        <v/>
      </c>
      <c r="AA143" t="s">
        <v>47</v>
      </c>
      <c r="AB143" t="s">
        <v>48</v>
      </c>
      <c r="AC143" t="s">
        <v>101</v>
      </c>
      <c r="AD143">
        <v>19</v>
      </c>
      <c r="AE143" t="s">
        <v>50</v>
      </c>
      <c r="AF143" t="s">
        <v>51</v>
      </c>
      <c r="AG143">
        <v>4.5999999999999996</v>
      </c>
      <c r="AH143">
        <v>4</v>
      </c>
      <c r="AI143">
        <v>0</v>
      </c>
      <c r="AJ143" t="s">
        <v>103</v>
      </c>
      <c r="AK143">
        <v>0</v>
      </c>
      <c r="AL143">
        <v>11</v>
      </c>
    </row>
    <row r="144" spans="1:38" x14ac:dyDescent="0.25">
      <c r="A144" t="s">
        <v>577</v>
      </c>
      <c r="B144">
        <v>10060</v>
      </c>
      <c r="C144">
        <v>0</v>
      </c>
      <c r="D144">
        <v>3</v>
      </c>
      <c r="E144">
        <v>0</v>
      </c>
      <c r="F144">
        <v>1</v>
      </c>
      <c r="G144">
        <v>5</v>
      </c>
      <c r="H144">
        <v>3</v>
      </c>
      <c r="I144">
        <v>0</v>
      </c>
      <c r="J144">
        <v>60436</v>
      </c>
      <c r="K144">
        <v>0</v>
      </c>
      <c r="L144">
        <v>19</v>
      </c>
      <c r="M144" t="s">
        <v>39</v>
      </c>
      <c r="N144" t="e" vm="1">
        <v>#VALUE!</v>
      </c>
      <c r="O144">
        <v>2109</v>
      </c>
      <c r="P144" t="s">
        <v>578</v>
      </c>
      <c r="Q144" t="s">
        <v>68</v>
      </c>
      <c r="R144">
        <f t="shared" ca="1" si="6"/>
        <v>53</v>
      </c>
      <c r="S144" t="s">
        <v>218</v>
      </c>
      <c r="T144" t="s">
        <v>43</v>
      </c>
      <c r="U144" t="s">
        <v>44</v>
      </c>
      <c r="V144" t="s">
        <v>45</v>
      </c>
      <c r="W144" t="s">
        <v>579</v>
      </c>
      <c r="X144">
        <f t="shared" ca="1" si="8"/>
        <v>5</v>
      </c>
      <c r="Z144" t="str">
        <f t="shared" ca="1" si="7"/>
        <v/>
      </c>
      <c r="AA144" t="s">
        <v>47</v>
      </c>
      <c r="AB144" t="s">
        <v>48</v>
      </c>
      <c r="AC144" t="s">
        <v>136</v>
      </c>
      <c r="AD144">
        <v>18</v>
      </c>
      <c r="AE144" t="s">
        <v>50</v>
      </c>
      <c r="AF144" t="s">
        <v>63</v>
      </c>
      <c r="AG144">
        <v>5</v>
      </c>
      <c r="AH144">
        <v>5</v>
      </c>
      <c r="AI144">
        <v>0</v>
      </c>
      <c r="AJ144" t="s">
        <v>220</v>
      </c>
      <c r="AK144">
        <v>0</v>
      </c>
      <c r="AL144">
        <v>9</v>
      </c>
    </row>
    <row r="145" spans="1:38" x14ac:dyDescent="0.25">
      <c r="A145" t="s">
        <v>580</v>
      </c>
      <c r="B145">
        <v>10034</v>
      </c>
      <c r="C145">
        <v>1</v>
      </c>
      <c r="D145">
        <v>1</v>
      </c>
      <c r="E145">
        <v>1</v>
      </c>
      <c r="F145">
        <v>5</v>
      </c>
      <c r="G145">
        <v>5</v>
      </c>
      <c r="H145">
        <v>4</v>
      </c>
      <c r="I145">
        <v>0</v>
      </c>
      <c r="J145">
        <v>46837</v>
      </c>
      <c r="K145">
        <v>1</v>
      </c>
      <c r="L145">
        <v>19</v>
      </c>
      <c r="M145" t="s">
        <v>39</v>
      </c>
      <c r="N145" t="e" vm="1">
        <v>#VALUE!</v>
      </c>
      <c r="O145">
        <v>2445</v>
      </c>
      <c r="P145" t="s">
        <v>581</v>
      </c>
      <c r="Q145" t="s">
        <v>41</v>
      </c>
      <c r="R145">
        <f t="shared" ca="1" si="6"/>
        <v>64</v>
      </c>
      <c r="S145" t="s">
        <v>56</v>
      </c>
      <c r="T145" t="s">
        <v>43</v>
      </c>
      <c r="U145" t="s">
        <v>44</v>
      </c>
      <c r="V145" t="s">
        <v>45</v>
      </c>
      <c r="W145" t="s">
        <v>338</v>
      </c>
      <c r="X145">
        <f t="shared" ca="1" si="8"/>
        <v>7</v>
      </c>
      <c r="Y145" t="s">
        <v>582</v>
      </c>
      <c r="Z145">
        <f t="shared" ca="1" si="7"/>
        <v>507</v>
      </c>
      <c r="AA145" t="s">
        <v>59</v>
      </c>
      <c r="AB145" t="s">
        <v>48</v>
      </c>
      <c r="AC145" t="s">
        <v>49</v>
      </c>
      <c r="AD145">
        <v>22</v>
      </c>
      <c r="AE145" t="s">
        <v>179</v>
      </c>
      <c r="AF145" t="s">
        <v>51</v>
      </c>
      <c r="AG145">
        <v>4.7</v>
      </c>
      <c r="AH145">
        <v>4</v>
      </c>
      <c r="AI145">
        <v>0</v>
      </c>
      <c r="AJ145" t="s">
        <v>583</v>
      </c>
      <c r="AK145">
        <v>0</v>
      </c>
      <c r="AL145">
        <v>9</v>
      </c>
    </row>
    <row r="146" spans="1:38" x14ac:dyDescent="0.25">
      <c r="A146" t="s">
        <v>584</v>
      </c>
      <c r="B146">
        <v>10156</v>
      </c>
      <c r="C146">
        <v>1</v>
      </c>
      <c r="D146">
        <v>1</v>
      </c>
      <c r="E146">
        <v>0</v>
      </c>
      <c r="F146">
        <v>3</v>
      </c>
      <c r="G146">
        <v>3</v>
      </c>
      <c r="H146">
        <v>3</v>
      </c>
      <c r="I146">
        <v>0</v>
      </c>
      <c r="J146">
        <v>105700</v>
      </c>
      <c r="K146">
        <v>0</v>
      </c>
      <c r="L146">
        <v>8</v>
      </c>
      <c r="M146" t="s">
        <v>158</v>
      </c>
      <c r="N146" t="e" vm="1">
        <v>#VALUE!</v>
      </c>
      <c r="O146">
        <v>2301</v>
      </c>
      <c r="P146" t="s">
        <v>435</v>
      </c>
      <c r="Q146" t="s">
        <v>68</v>
      </c>
      <c r="R146">
        <f t="shared" ca="1" si="6"/>
        <v>34</v>
      </c>
      <c r="S146" t="s">
        <v>56</v>
      </c>
      <c r="T146" t="s">
        <v>43</v>
      </c>
      <c r="U146" t="s">
        <v>44</v>
      </c>
      <c r="V146" t="s">
        <v>165</v>
      </c>
      <c r="W146" t="s">
        <v>114</v>
      </c>
      <c r="X146">
        <f t="shared" ca="1" si="8"/>
        <v>4</v>
      </c>
      <c r="Z146" t="str">
        <f t="shared" ca="1" si="7"/>
        <v/>
      </c>
      <c r="AA146" t="s">
        <v>47</v>
      </c>
      <c r="AB146" t="s">
        <v>60</v>
      </c>
      <c r="AC146" t="s">
        <v>61</v>
      </c>
      <c r="AD146">
        <v>4</v>
      </c>
      <c r="AE146" t="s">
        <v>62</v>
      </c>
      <c r="AF146" t="s">
        <v>63</v>
      </c>
      <c r="AG146">
        <v>3.75</v>
      </c>
      <c r="AH146">
        <v>3</v>
      </c>
      <c r="AI146">
        <v>5</v>
      </c>
      <c r="AJ146" t="s">
        <v>535</v>
      </c>
      <c r="AK146">
        <v>0</v>
      </c>
      <c r="AL146">
        <v>2</v>
      </c>
    </row>
    <row r="147" spans="1:38" x14ac:dyDescent="0.25">
      <c r="A147" t="s">
        <v>585</v>
      </c>
      <c r="B147">
        <v>10036</v>
      </c>
      <c r="C147">
        <v>0</v>
      </c>
      <c r="D147">
        <v>0</v>
      </c>
      <c r="E147">
        <v>0</v>
      </c>
      <c r="F147">
        <v>1</v>
      </c>
      <c r="G147">
        <v>5</v>
      </c>
      <c r="H147">
        <v>4</v>
      </c>
      <c r="I147">
        <v>0</v>
      </c>
      <c r="J147">
        <v>63322</v>
      </c>
      <c r="K147">
        <v>0</v>
      </c>
      <c r="L147">
        <v>20</v>
      </c>
      <c r="M147" t="s">
        <v>66</v>
      </c>
      <c r="N147" t="e" vm="1">
        <v>#VALUE!</v>
      </c>
      <c r="O147">
        <v>2128</v>
      </c>
      <c r="P147" t="s">
        <v>586</v>
      </c>
      <c r="Q147" t="s">
        <v>68</v>
      </c>
      <c r="R147">
        <f t="shared" ca="1" si="6"/>
        <v>47</v>
      </c>
      <c r="S147" t="s">
        <v>42</v>
      </c>
      <c r="T147" t="s">
        <v>43</v>
      </c>
      <c r="U147" t="s">
        <v>44</v>
      </c>
      <c r="V147" t="s">
        <v>45</v>
      </c>
      <c r="W147" t="s">
        <v>160</v>
      </c>
      <c r="X147">
        <f t="shared" ca="1" si="8"/>
        <v>4</v>
      </c>
      <c r="Z147" t="str">
        <f t="shared" ca="1" si="7"/>
        <v/>
      </c>
      <c r="AA147" t="s">
        <v>47</v>
      </c>
      <c r="AB147" t="s">
        <v>48</v>
      </c>
      <c r="AC147" t="s">
        <v>108</v>
      </c>
      <c r="AD147">
        <v>12</v>
      </c>
      <c r="AE147" t="s">
        <v>50</v>
      </c>
      <c r="AF147" t="s">
        <v>51</v>
      </c>
      <c r="AG147">
        <v>4.3</v>
      </c>
      <c r="AH147">
        <v>3</v>
      </c>
      <c r="AI147">
        <v>0</v>
      </c>
      <c r="AJ147" t="s">
        <v>167</v>
      </c>
      <c r="AK147">
        <v>0</v>
      </c>
      <c r="AL147">
        <v>1</v>
      </c>
    </row>
    <row r="148" spans="1:38" x14ac:dyDescent="0.25">
      <c r="A148" t="s">
        <v>587</v>
      </c>
      <c r="B148">
        <v>10138</v>
      </c>
      <c r="C148">
        <v>1</v>
      </c>
      <c r="D148">
        <v>1</v>
      </c>
      <c r="E148">
        <v>0</v>
      </c>
      <c r="F148">
        <v>5</v>
      </c>
      <c r="G148">
        <v>5</v>
      </c>
      <c r="H148">
        <v>3</v>
      </c>
      <c r="I148">
        <v>0</v>
      </c>
      <c r="J148">
        <v>61154</v>
      </c>
      <c r="K148">
        <v>1</v>
      </c>
      <c r="L148">
        <v>19</v>
      </c>
      <c r="M148" t="s">
        <v>39</v>
      </c>
      <c r="N148" t="e" vm="1">
        <v>#VALUE!</v>
      </c>
      <c r="O148">
        <v>2446</v>
      </c>
      <c r="P148" t="s">
        <v>588</v>
      </c>
      <c r="Q148" t="s">
        <v>68</v>
      </c>
      <c r="R148">
        <f t="shared" ca="1" si="6"/>
        <v>30</v>
      </c>
      <c r="S148" t="s">
        <v>56</v>
      </c>
      <c r="T148" t="s">
        <v>43</v>
      </c>
      <c r="U148" t="s">
        <v>44</v>
      </c>
      <c r="V148" t="s">
        <v>106</v>
      </c>
      <c r="W148" t="s">
        <v>120</v>
      </c>
      <c r="X148">
        <f t="shared" ca="1" si="8"/>
        <v>8</v>
      </c>
      <c r="Y148" t="s">
        <v>589</v>
      </c>
      <c r="Z148">
        <f t="shared" ca="1" si="7"/>
        <v>273</v>
      </c>
      <c r="AA148" t="s">
        <v>59</v>
      </c>
      <c r="AB148" t="s">
        <v>48</v>
      </c>
      <c r="AC148" t="s">
        <v>75</v>
      </c>
      <c r="AD148">
        <v>16</v>
      </c>
      <c r="AE148" t="s">
        <v>179</v>
      </c>
      <c r="AF148" t="s">
        <v>63</v>
      </c>
      <c r="AG148">
        <v>4</v>
      </c>
      <c r="AH148">
        <v>4</v>
      </c>
      <c r="AI148">
        <v>0</v>
      </c>
      <c r="AJ148" t="s">
        <v>590</v>
      </c>
      <c r="AK148">
        <v>0</v>
      </c>
      <c r="AL148">
        <v>4</v>
      </c>
    </row>
    <row r="149" spans="1:38" x14ac:dyDescent="0.25">
      <c r="A149" t="s">
        <v>591</v>
      </c>
      <c r="B149">
        <v>10244</v>
      </c>
      <c r="C149">
        <v>0</v>
      </c>
      <c r="D149">
        <v>0</v>
      </c>
      <c r="E149">
        <v>0</v>
      </c>
      <c r="F149">
        <v>5</v>
      </c>
      <c r="G149">
        <v>6</v>
      </c>
      <c r="H149">
        <v>3</v>
      </c>
      <c r="I149">
        <v>0</v>
      </c>
      <c r="J149">
        <v>68999</v>
      </c>
      <c r="K149">
        <v>1</v>
      </c>
      <c r="L149">
        <v>21</v>
      </c>
      <c r="M149" t="s">
        <v>326</v>
      </c>
      <c r="N149" t="e" vm="14">
        <v>#VALUE!</v>
      </c>
      <c r="O149">
        <v>19444</v>
      </c>
      <c r="P149" t="s">
        <v>592</v>
      </c>
      <c r="Q149" t="s">
        <v>68</v>
      </c>
      <c r="R149">
        <f t="shared" ca="1" si="6"/>
        <v>32</v>
      </c>
      <c r="S149" t="s">
        <v>42</v>
      </c>
      <c r="T149" t="s">
        <v>43</v>
      </c>
      <c r="U149" t="s">
        <v>44</v>
      </c>
      <c r="V149" t="s">
        <v>45</v>
      </c>
      <c r="W149" t="s">
        <v>338</v>
      </c>
      <c r="X149">
        <f t="shared" ca="1" si="8"/>
        <v>7</v>
      </c>
      <c r="Y149" t="s">
        <v>176</v>
      </c>
      <c r="Z149">
        <f t="shared" ca="1" si="7"/>
        <v>11</v>
      </c>
      <c r="AA149" t="s">
        <v>59</v>
      </c>
      <c r="AB149" t="s">
        <v>226</v>
      </c>
      <c r="AC149" t="s">
        <v>329</v>
      </c>
      <c r="AD149">
        <v>15</v>
      </c>
      <c r="AE149" t="s">
        <v>83</v>
      </c>
      <c r="AF149" t="s">
        <v>63</v>
      </c>
      <c r="AG149">
        <v>4.5</v>
      </c>
      <c r="AH149">
        <v>5</v>
      </c>
      <c r="AI149">
        <v>0</v>
      </c>
      <c r="AJ149" t="s">
        <v>593</v>
      </c>
      <c r="AK149">
        <v>0</v>
      </c>
      <c r="AL149">
        <v>2</v>
      </c>
    </row>
    <row r="150" spans="1:38" x14ac:dyDescent="0.25">
      <c r="A150" t="s">
        <v>594</v>
      </c>
      <c r="B150">
        <v>10192</v>
      </c>
      <c r="C150">
        <v>0</v>
      </c>
      <c r="D150">
        <v>0</v>
      </c>
      <c r="E150">
        <v>1</v>
      </c>
      <c r="F150">
        <v>1</v>
      </c>
      <c r="G150">
        <v>5</v>
      </c>
      <c r="H150">
        <v>3</v>
      </c>
      <c r="I150">
        <v>0</v>
      </c>
      <c r="J150">
        <v>50482</v>
      </c>
      <c r="K150">
        <v>0</v>
      </c>
      <c r="L150">
        <v>19</v>
      </c>
      <c r="M150" t="s">
        <v>39</v>
      </c>
      <c r="N150" t="e" vm="1">
        <v>#VALUE!</v>
      </c>
      <c r="O150">
        <v>1887</v>
      </c>
      <c r="P150" t="s">
        <v>595</v>
      </c>
      <c r="Q150" t="s">
        <v>41</v>
      </c>
      <c r="R150">
        <f t="shared" ca="1" si="6"/>
        <v>47</v>
      </c>
      <c r="S150" t="s">
        <v>42</v>
      </c>
      <c r="T150" t="s">
        <v>43</v>
      </c>
      <c r="U150" t="s">
        <v>44</v>
      </c>
      <c r="V150" t="s">
        <v>45</v>
      </c>
      <c r="W150" t="s">
        <v>100</v>
      </c>
      <c r="X150">
        <f t="shared" ca="1" si="8"/>
        <v>5</v>
      </c>
      <c r="Z150" t="str">
        <f t="shared" ca="1" si="7"/>
        <v/>
      </c>
      <c r="AA150" t="s">
        <v>47</v>
      </c>
      <c r="AB150" t="s">
        <v>48</v>
      </c>
      <c r="AC150" t="s">
        <v>49</v>
      </c>
      <c r="AD150">
        <v>22</v>
      </c>
      <c r="AE150" t="s">
        <v>62</v>
      </c>
      <c r="AF150" t="s">
        <v>63</v>
      </c>
      <c r="AG150">
        <v>3.07</v>
      </c>
      <c r="AH150">
        <v>4</v>
      </c>
      <c r="AI150">
        <v>0</v>
      </c>
      <c r="AJ150" t="s">
        <v>363</v>
      </c>
      <c r="AK150">
        <v>0</v>
      </c>
      <c r="AL150">
        <v>10</v>
      </c>
    </row>
    <row r="151" spans="1:38" x14ac:dyDescent="0.25">
      <c r="A151" t="s">
        <v>596</v>
      </c>
      <c r="B151">
        <v>10231</v>
      </c>
      <c r="C151">
        <v>0</v>
      </c>
      <c r="D151">
        <v>0</v>
      </c>
      <c r="E151">
        <v>1</v>
      </c>
      <c r="F151">
        <v>1</v>
      </c>
      <c r="G151">
        <v>6</v>
      </c>
      <c r="H151">
        <v>3</v>
      </c>
      <c r="I151">
        <v>0</v>
      </c>
      <c r="J151">
        <v>65310</v>
      </c>
      <c r="K151">
        <v>0</v>
      </c>
      <c r="L151">
        <v>3</v>
      </c>
      <c r="M151" t="s">
        <v>222</v>
      </c>
      <c r="N151" t="e" vm="15">
        <v>#VALUE!</v>
      </c>
      <c r="O151">
        <v>80820</v>
      </c>
      <c r="P151" t="s">
        <v>597</v>
      </c>
      <c r="Q151" t="s">
        <v>41</v>
      </c>
      <c r="R151">
        <f t="shared" ca="1" si="6"/>
        <v>40</v>
      </c>
      <c r="S151" t="s">
        <v>42</v>
      </c>
      <c r="T151" t="s">
        <v>43</v>
      </c>
      <c r="U151" t="s">
        <v>44</v>
      </c>
      <c r="V151" t="s">
        <v>45</v>
      </c>
      <c r="W151" t="s">
        <v>172</v>
      </c>
      <c r="X151">
        <f t="shared" ca="1" si="8"/>
        <v>5</v>
      </c>
      <c r="Z151" t="str">
        <f t="shared" ca="1" si="7"/>
        <v/>
      </c>
      <c r="AA151" t="s">
        <v>47</v>
      </c>
      <c r="AB151" t="s">
        <v>226</v>
      </c>
      <c r="AC151" t="s">
        <v>271</v>
      </c>
      <c r="AD151">
        <v>21</v>
      </c>
      <c r="AE151" t="s">
        <v>62</v>
      </c>
      <c r="AF151" t="s">
        <v>63</v>
      </c>
      <c r="AG151">
        <v>4.3</v>
      </c>
      <c r="AH151">
        <v>5</v>
      </c>
      <c r="AI151">
        <v>0</v>
      </c>
      <c r="AJ151" t="s">
        <v>318</v>
      </c>
      <c r="AK151">
        <v>0</v>
      </c>
      <c r="AL151">
        <v>13</v>
      </c>
    </row>
    <row r="152" spans="1:38" x14ac:dyDescent="0.25">
      <c r="A152" t="s">
        <v>598</v>
      </c>
      <c r="B152">
        <v>10089</v>
      </c>
      <c r="C152">
        <v>1</v>
      </c>
      <c r="D152">
        <v>1</v>
      </c>
      <c r="E152">
        <v>0</v>
      </c>
      <c r="F152">
        <v>1</v>
      </c>
      <c r="G152">
        <v>2</v>
      </c>
      <c r="H152">
        <v>3</v>
      </c>
      <c r="I152">
        <v>0</v>
      </c>
      <c r="J152">
        <v>250000</v>
      </c>
      <c r="K152">
        <v>0</v>
      </c>
      <c r="L152">
        <v>16</v>
      </c>
      <c r="M152" t="s">
        <v>599</v>
      </c>
      <c r="N152" t="e" vm="1">
        <v>#VALUE!</v>
      </c>
      <c r="O152">
        <v>1902</v>
      </c>
      <c r="P152" t="s">
        <v>600</v>
      </c>
      <c r="Q152" t="s">
        <v>68</v>
      </c>
      <c r="R152">
        <f t="shared" ca="1" si="6"/>
        <v>68</v>
      </c>
      <c r="S152" t="s">
        <v>56</v>
      </c>
      <c r="T152" t="s">
        <v>43</v>
      </c>
      <c r="U152" t="s">
        <v>119</v>
      </c>
      <c r="V152" t="s">
        <v>45</v>
      </c>
      <c r="W152" t="s">
        <v>335</v>
      </c>
      <c r="X152">
        <f t="shared" ca="1" si="8"/>
        <v>6</v>
      </c>
      <c r="Z152" t="str">
        <f t="shared" ca="1" si="7"/>
        <v/>
      </c>
      <c r="AA152" t="s">
        <v>47</v>
      </c>
      <c r="AB152" t="s">
        <v>601</v>
      </c>
      <c r="AC152" t="s">
        <v>447</v>
      </c>
      <c r="AD152">
        <v>9</v>
      </c>
      <c r="AE152" t="s">
        <v>62</v>
      </c>
      <c r="AF152" t="s">
        <v>63</v>
      </c>
      <c r="AG152">
        <v>4.83</v>
      </c>
      <c r="AH152">
        <v>3</v>
      </c>
      <c r="AI152">
        <v>0</v>
      </c>
      <c r="AJ152" t="s">
        <v>52</v>
      </c>
      <c r="AK152">
        <v>0</v>
      </c>
      <c r="AL152">
        <v>10</v>
      </c>
    </row>
    <row r="153" spans="1:38" x14ac:dyDescent="0.25">
      <c r="A153" t="s">
        <v>602</v>
      </c>
      <c r="B153">
        <v>10166</v>
      </c>
      <c r="C153">
        <v>1</v>
      </c>
      <c r="D153">
        <v>1</v>
      </c>
      <c r="E153">
        <v>0</v>
      </c>
      <c r="F153">
        <v>5</v>
      </c>
      <c r="G153">
        <v>5</v>
      </c>
      <c r="H153">
        <v>3</v>
      </c>
      <c r="I153">
        <v>0</v>
      </c>
      <c r="J153">
        <v>54005</v>
      </c>
      <c r="K153">
        <v>1</v>
      </c>
      <c r="L153">
        <v>19</v>
      </c>
      <c r="M153" t="s">
        <v>39</v>
      </c>
      <c r="N153" t="e" vm="1">
        <v>#VALUE!</v>
      </c>
      <c r="O153">
        <v>2170</v>
      </c>
      <c r="P153" t="s">
        <v>603</v>
      </c>
      <c r="Q153" t="s">
        <v>68</v>
      </c>
      <c r="R153">
        <f t="shared" ca="1" si="6"/>
        <v>43</v>
      </c>
      <c r="S153" t="s">
        <v>56</v>
      </c>
      <c r="T153" t="s">
        <v>43</v>
      </c>
      <c r="U153" t="s">
        <v>44</v>
      </c>
      <c r="V153" t="s">
        <v>45</v>
      </c>
      <c r="W153" t="s">
        <v>604</v>
      </c>
      <c r="X153">
        <f t="shared" ca="1" si="8"/>
        <v>7</v>
      </c>
      <c r="Y153" t="s">
        <v>605</v>
      </c>
      <c r="Z153">
        <f t="shared" ca="1" si="7"/>
        <v>660</v>
      </c>
      <c r="AA153" t="s">
        <v>59</v>
      </c>
      <c r="AB153" t="s">
        <v>48</v>
      </c>
      <c r="AC153" t="s">
        <v>82</v>
      </c>
      <c r="AD153">
        <v>39</v>
      </c>
      <c r="AE153" t="s">
        <v>83</v>
      </c>
      <c r="AF153" t="s">
        <v>63</v>
      </c>
      <c r="AG153">
        <v>3.6</v>
      </c>
      <c r="AH153">
        <v>5</v>
      </c>
      <c r="AI153">
        <v>0</v>
      </c>
      <c r="AJ153" t="s">
        <v>606</v>
      </c>
      <c r="AK153">
        <v>0</v>
      </c>
      <c r="AL153">
        <v>16</v>
      </c>
    </row>
    <row r="154" spans="1:38" x14ac:dyDescent="0.25">
      <c r="A154" t="s">
        <v>607</v>
      </c>
      <c r="B154">
        <v>10170</v>
      </c>
      <c r="C154">
        <v>1</v>
      </c>
      <c r="D154">
        <v>1</v>
      </c>
      <c r="E154">
        <v>0</v>
      </c>
      <c r="F154">
        <v>5</v>
      </c>
      <c r="G154">
        <v>5</v>
      </c>
      <c r="H154">
        <v>3</v>
      </c>
      <c r="I154">
        <v>0</v>
      </c>
      <c r="J154">
        <v>45433</v>
      </c>
      <c r="K154">
        <v>1</v>
      </c>
      <c r="L154">
        <v>19</v>
      </c>
      <c r="M154" t="s">
        <v>39</v>
      </c>
      <c r="N154" t="e" vm="1">
        <v>#VALUE!</v>
      </c>
      <c r="O154">
        <v>2127</v>
      </c>
      <c r="P154" t="s">
        <v>608</v>
      </c>
      <c r="Q154" t="s">
        <v>68</v>
      </c>
      <c r="R154">
        <f t="shared" ca="1" si="6"/>
        <v>46</v>
      </c>
      <c r="S154" t="s">
        <v>56</v>
      </c>
      <c r="T154" t="s">
        <v>43</v>
      </c>
      <c r="U154" t="s">
        <v>44</v>
      </c>
      <c r="V154" t="s">
        <v>45</v>
      </c>
      <c r="W154" t="s">
        <v>604</v>
      </c>
      <c r="X154">
        <f t="shared" ca="1" si="8"/>
        <v>7</v>
      </c>
      <c r="Y154" t="s">
        <v>609</v>
      </c>
      <c r="Z154">
        <f t="shared" ca="1" si="7"/>
        <v>468</v>
      </c>
      <c r="AA154" t="s">
        <v>59</v>
      </c>
      <c r="AB154" t="s">
        <v>48</v>
      </c>
      <c r="AC154" t="s">
        <v>88</v>
      </c>
      <c r="AD154">
        <v>11</v>
      </c>
      <c r="AE154" t="s">
        <v>83</v>
      </c>
      <c r="AF154" t="s">
        <v>63</v>
      </c>
      <c r="AG154">
        <v>3.49</v>
      </c>
      <c r="AH154">
        <v>4</v>
      </c>
      <c r="AI154">
        <v>0</v>
      </c>
      <c r="AJ154" t="s">
        <v>539</v>
      </c>
      <c r="AK154">
        <v>0</v>
      </c>
      <c r="AL154">
        <v>6</v>
      </c>
    </row>
    <row r="155" spans="1:38" x14ac:dyDescent="0.25">
      <c r="A155" t="s">
        <v>610</v>
      </c>
      <c r="B155">
        <v>10208</v>
      </c>
      <c r="C155">
        <v>0</v>
      </c>
      <c r="D155">
        <v>0</v>
      </c>
      <c r="E155">
        <v>1</v>
      </c>
      <c r="F155">
        <v>1</v>
      </c>
      <c r="G155">
        <v>5</v>
      </c>
      <c r="H155">
        <v>3</v>
      </c>
      <c r="I155">
        <v>0</v>
      </c>
      <c r="J155">
        <v>46654</v>
      </c>
      <c r="K155">
        <v>0</v>
      </c>
      <c r="L155">
        <v>19</v>
      </c>
      <c r="M155" t="s">
        <v>39</v>
      </c>
      <c r="N155" t="e" vm="1">
        <v>#VALUE!</v>
      </c>
      <c r="O155">
        <v>1721</v>
      </c>
      <c r="P155" t="s">
        <v>611</v>
      </c>
      <c r="Q155" t="s">
        <v>41</v>
      </c>
      <c r="R155">
        <f t="shared" ca="1" si="6"/>
        <v>47</v>
      </c>
      <c r="S155" t="s">
        <v>42</v>
      </c>
      <c r="T155" t="s">
        <v>43</v>
      </c>
      <c r="U155" t="s">
        <v>44</v>
      </c>
      <c r="V155" t="s">
        <v>106</v>
      </c>
      <c r="W155" t="s">
        <v>188</v>
      </c>
      <c r="X155">
        <f t="shared" ca="1" si="8"/>
        <v>4</v>
      </c>
      <c r="Z155" t="str">
        <f t="shared" ca="1" si="7"/>
        <v/>
      </c>
      <c r="AA155" t="s">
        <v>47</v>
      </c>
      <c r="AB155" t="s">
        <v>48</v>
      </c>
      <c r="AC155" t="s">
        <v>101</v>
      </c>
      <c r="AD155">
        <v>19</v>
      </c>
      <c r="AE155" t="s">
        <v>50</v>
      </c>
      <c r="AF155" t="s">
        <v>63</v>
      </c>
      <c r="AG155">
        <v>3.1</v>
      </c>
      <c r="AH155">
        <v>3</v>
      </c>
      <c r="AI155">
        <v>0</v>
      </c>
      <c r="AJ155" t="s">
        <v>612</v>
      </c>
      <c r="AK155">
        <v>0</v>
      </c>
      <c r="AL155">
        <v>3</v>
      </c>
    </row>
    <row r="156" spans="1:38" x14ac:dyDescent="0.25">
      <c r="A156" t="s">
        <v>613</v>
      </c>
      <c r="B156">
        <v>10176</v>
      </c>
      <c r="C156">
        <v>1</v>
      </c>
      <c r="D156">
        <v>1</v>
      </c>
      <c r="E156">
        <v>1</v>
      </c>
      <c r="F156">
        <v>1</v>
      </c>
      <c r="G156">
        <v>5</v>
      </c>
      <c r="H156">
        <v>3</v>
      </c>
      <c r="I156">
        <v>0</v>
      </c>
      <c r="J156">
        <v>63973</v>
      </c>
      <c r="K156">
        <v>0</v>
      </c>
      <c r="L156">
        <v>19</v>
      </c>
      <c r="M156" t="s">
        <v>39</v>
      </c>
      <c r="N156" t="e" vm="1">
        <v>#VALUE!</v>
      </c>
      <c r="O156">
        <v>1801</v>
      </c>
      <c r="P156" t="s">
        <v>614</v>
      </c>
      <c r="Q156" t="s">
        <v>41</v>
      </c>
      <c r="R156">
        <f t="shared" ca="1" si="6"/>
        <v>36</v>
      </c>
      <c r="S156" t="s">
        <v>56</v>
      </c>
      <c r="T156" t="s">
        <v>43</v>
      </c>
      <c r="U156" t="s">
        <v>44</v>
      </c>
      <c r="V156" t="s">
        <v>165</v>
      </c>
      <c r="W156" t="s">
        <v>120</v>
      </c>
      <c r="X156">
        <f t="shared" ca="1" si="8"/>
        <v>8</v>
      </c>
      <c r="Z156" t="str">
        <f t="shared" ca="1" si="7"/>
        <v/>
      </c>
      <c r="AA156" t="s">
        <v>47</v>
      </c>
      <c r="AB156" t="s">
        <v>48</v>
      </c>
      <c r="AC156" t="s">
        <v>108</v>
      </c>
      <c r="AD156">
        <v>12</v>
      </c>
      <c r="AE156" t="s">
        <v>62</v>
      </c>
      <c r="AF156" t="s">
        <v>63</v>
      </c>
      <c r="AG156">
        <v>3.38</v>
      </c>
      <c r="AH156">
        <v>3</v>
      </c>
      <c r="AI156">
        <v>0</v>
      </c>
      <c r="AJ156" t="s">
        <v>220</v>
      </c>
      <c r="AK156">
        <v>0</v>
      </c>
      <c r="AL156">
        <v>17</v>
      </c>
    </row>
    <row r="157" spans="1:38" x14ac:dyDescent="0.25">
      <c r="A157" t="s">
        <v>615</v>
      </c>
      <c r="B157">
        <v>10165</v>
      </c>
      <c r="C157">
        <v>0</v>
      </c>
      <c r="D157">
        <v>0</v>
      </c>
      <c r="E157">
        <v>1</v>
      </c>
      <c r="F157">
        <v>1</v>
      </c>
      <c r="G157">
        <v>6</v>
      </c>
      <c r="H157">
        <v>3</v>
      </c>
      <c r="I157">
        <v>1</v>
      </c>
      <c r="J157">
        <v>71339</v>
      </c>
      <c r="K157">
        <v>0</v>
      </c>
      <c r="L157">
        <v>3</v>
      </c>
      <c r="M157" t="s">
        <v>222</v>
      </c>
      <c r="N157" t="e" vm="16">
        <v>#VALUE!</v>
      </c>
      <c r="O157">
        <v>10171</v>
      </c>
      <c r="P157" t="s">
        <v>616</v>
      </c>
      <c r="Q157" t="s">
        <v>41</v>
      </c>
      <c r="R157">
        <f t="shared" ca="1" si="6"/>
        <v>51</v>
      </c>
      <c r="S157" t="s">
        <v>42</v>
      </c>
      <c r="T157" t="s">
        <v>43</v>
      </c>
      <c r="U157" t="s">
        <v>119</v>
      </c>
      <c r="V157" t="s">
        <v>106</v>
      </c>
      <c r="W157" t="s">
        <v>617</v>
      </c>
      <c r="X157">
        <f t="shared" ca="1" si="8"/>
        <v>7</v>
      </c>
      <c r="Z157" t="str">
        <f t="shared" ca="1" si="7"/>
        <v/>
      </c>
      <c r="AA157" t="s">
        <v>47</v>
      </c>
      <c r="AB157" t="s">
        <v>226</v>
      </c>
      <c r="AC157" t="s">
        <v>227</v>
      </c>
      <c r="AD157">
        <v>17</v>
      </c>
      <c r="AE157" t="s">
        <v>109</v>
      </c>
      <c r="AF157" t="s">
        <v>63</v>
      </c>
      <c r="AG157">
        <v>3.65</v>
      </c>
      <c r="AH157">
        <v>5</v>
      </c>
      <c r="AI157">
        <v>0</v>
      </c>
      <c r="AJ157" t="s">
        <v>52</v>
      </c>
      <c r="AK157">
        <v>0</v>
      </c>
      <c r="AL157">
        <v>20</v>
      </c>
    </row>
    <row r="158" spans="1:38" x14ac:dyDescent="0.25">
      <c r="A158" t="s">
        <v>618</v>
      </c>
      <c r="B158">
        <v>10113</v>
      </c>
      <c r="C158">
        <v>1</v>
      </c>
      <c r="D158">
        <v>1</v>
      </c>
      <c r="E158">
        <v>1</v>
      </c>
      <c r="F158">
        <v>3</v>
      </c>
      <c r="G158">
        <v>3</v>
      </c>
      <c r="H158">
        <v>3</v>
      </c>
      <c r="I158">
        <v>0</v>
      </c>
      <c r="J158">
        <v>93206</v>
      </c>
      <c r="K158">
        <v>0</v>
      </c>
      <c r="L158">
        <v>28</v>
      </c>
      <c r="M158" t="s">
        <v>323</v>
      </c>
      <c r="N158" t="e" vm="1">
        <v>#VALUE!</v>
      </c>
      <c r="O158">
        <v>2169</v>
      </c>
      <c r="P158" t="s">
        <v>619</v>
      </c>
      <c r="Q158" t="s">
        <v>41</v>
      </c>
      <c r="R158">
        <f t="shared" ca="1" si="6"/>
        <v>32</v>
      </c>
      <c r="S158" t="s">
        <v>56</v>
      </c>
      <c r="T158" t="s">
        <v>43</v>
      </c>
      <c r="U158" t="s">
        <v>44</v>
      </c>
      <c r="V158" t="s">
        <v>45</v>
      </c>
      <c r="W158" t="s">
        <v>93</v>
      </c>
      <c r="X158">
        <f t="shared" ca="1" si="8"/>
        <v>4</v>
      </c>
      <c r="Z158" t="str">
        <f t="shared" ca="1" si="7"/>
        <v/>
      </c>
      <c r="AA158" t="s">
        <v>47</v>
      </c>
      <c r="AB158" t="s">
        <v>60</v>
      </c>
      <c r="AC158" t="s">
        <v>115</v>
      </c>
      <c r="AD158">
        <v>7</v>
      </c>
      <c r="AE158" t="s">
        <v>102</v>
      </c>
      <c r="AF158" t="s">
        <v>63</v>
      </c>
      <c r="AG158">
        <v>4.46</v>
      </c>
      <c r="AH158">
        <v>5</v>
      </c>
      <c r="AI158">
        <v>6</v>
      </c>
      <c r="AJ158" t="s">
        <v>89</v>
      </c>
      <c r="AK158">
        <v>0</v>
      </c>
      <c r="AL158">
        <v>7</v>
      </c>
    </row>
    <row r="159" spans="1:38" x14ac:dyDescent="0.25">
      <c r="A159" t="s">
        <v>620</v>
      </c>
      <c r="B159">
        <v>10092</v>
      </c>
      <c r="C159">
        <v>1</v>
      </c>
      <c r="D159">
        <v>1</v>
      </c>
      <c r="E159">
        <v>1</v>
      </c>
      <c r="F159">
        <v>4</v>
      </c>
      <c r="G159">
        <v>5</v>
      </c>
      <c r="H159">
        <v>3</v>
      </c>
      <c r="I159">
        <v>0</v>
      </c>
      <c r="J159">
        <v>82758</v>
      </c>
      <c r="K159">
        <v>1</v>
      </c>
      <c r="L159">
        <v>18</v>
      </c>
      <c r="M159" t="s">
        <v>198</v>
      </c>
      <c r="N159" t="e" vm="1">
        <v>#VALUE!</v>
      </c>
      <c r="O159">
        <v>1890</v>
      </c>
      <c r="P159" t="s">
        <v>621</v>
      </c>
      <c r="Q159" t="s">
        <v>41</v>
      </c>
      <c r="R159">
        <f t="shared" ca="1" si="6"/>
        <v>53</v>
      </c>
      <c r="S159" t="s">
        <v>56</v>
      </c>
      <c r="T159" t="s">
        <v>43</v>
      </c>
      <c r="U159" t="s">
        <v>44</v>
      </c>
      <c r="V159" t="s">
        <v>45</v>
      </c>
      <c r="W159" t="s">
        <v>120</v>
      </c>
      <c r="X159">
        <f t="shared" ca="1" si="8"/>
        <v>8</v>
      </c>
      <c r="Y159" t="s">
        <v>622</v>
      </c>
      <c r="Z159">
        <f t="shared" ca="1" si="7"/>
        <v>620</v>
      </c>
      <c r="AA159" t="s">
        <v>59</v>
      </c>
      <c r="AB159" t="s">
        <v>48</v>
      </c>
      <c r="AC159" t="s">
        <v>201</v>
      </c>
      <c r="AD159">
        <v>2</v>
      </c>
      <c r="AE159" t="s">
        <v>102</v>
      </c>
      <c r="AF159" t="s">
        <v>63</v>
      </c>
      <c r="AG159">
        <v>4.78</v>
      </c>
      <c r="AH159">
        <v>4</v>
      </c>
      <c r="AI159">
        <v>0</v>
      </c>
      <c r="AJ159" t="s">
        <v>623</v>
      </c>
      <c r="AK159">
        <v>0</v>
      </c>
      <c r="AL159">
        <v>9</v>
      </c>
    </row>
    <row r="160" spans="1:38" x14ac:dyDescent="0.25">
      <c r="A160" t="s">
        <v>624</v>
      </c>
      <c r="B160">
        <v>10106</v>
      </c>
      <c r="C160">
        <v>0</v>
      </c>
      <c r="D160">
        <v>2</v>
      </c>
      <c r="E160">
        <v>0</v>
      </c>
      <c r="F160">
        <v>5</v>
      </c>
      <c r="G160">
        <v>5</v>
      </c>
      <c r="H160">
        <v>3</v>
      </c>
      <c r="I160">
        <v>0</v>
      </c>
      <c r="J160">
        <v>66074</v>
      </c>
      <c r="K160">
        <v>1</v>
      </c>
      <c r="L160">
        <v>20</v>
      </c>
      <c r="M160" t="s">
        <v>66</v>
      </c>
      <c r="N160" t="e" vm="1">
        <v>#VALUE!</v>
      </c>
      <c r="O160">
        <v>2090</v>
      </c>
      <c r="P160" t="s">
        <v>625</v>
      </c>
      <c r="Q160" t="s">
        <v>68</v>
      </c>
      <c r="R160">
        <f t="shared" ca="1" si="6"/>
        <v>45</v>
      </c>
      <c r="S160" t="s">
        <v>79</v>
      </c>
      <c r="T160" t="s">
        <v>43</v>
      </c>
      <c r="U160" t="s">
        <v>44</v>
      </c>
      <c r="V160" t="s">
        <v>165</v>
      </c>
      <c r="W160" t="s">
        <v>372</v>
      </c>
      <c r="X160">
        <f t="shared" ca="1" si="8"/>
        <v>6</v>
      </c>
      <c r="Y160" t="s">
        <v>626</v>
      </c>
      <c r="Z160">
        <f t="shared" ca="1" si="7"/>
        <v>720</v>
      </c>
      <c r="AA160" t="s">
        <v>59</v>
      </c>
      <c r="AB160" t="s">
        <v>48</v>
      </c>
      <c r="AC160" t="s">
        <v>122</v>
      </c>
      <c r="AD160">
        <v>14</v>
      </c>
      <c r="AE160" t="s">
        <v>62</v>
      </c>
      <c r="AF160" t="s">
        <v>63</v>
      </c>
      <c r="AG160">
        <v>4.5199999999999996</v>
      </c>
      <c r="AH160">
        <v>3</v>
      </c>
      <c r="AI160">
        <v>0</v>
      </c>
      <c r="AJ160" t="s">
        <v>202</v>
      </c>
      <c r="AK160">
        <v>0</v>
      </c>
      <c r="AL160">
        <v>20</v>
      </c>
    </row>
    <row r="161" spans="1:38" x14ac:dyDescent="0.25">
      <c r="A161" t="s">
        <v>627</v>
      </c>
      <c r="B161">
        <v>10052</v>
      </c>
      <c r="C161">
        <v>1</v>
      </c>
      <c r="D161">
        <v>1</v>
      </c>
      <c r="E161">
        <v>1</v>
      </c>
      <c r="F161">
        <v>1</v>
      </c>
      <c r="G161">
        <v>5</v>
      </c>
      <c r="H161">
        <v>3</v>
      </c>
      <c r="I161">
        <v>0</v>
      </c>
      <c r="J161">
        <v>46120</v>
      </c>
      <c r="K161">
        <v>0</v>
      </c>
      <c r="L161">
        <v>19</v>
      </c>
      <c r="M161" t="s">
        <v>39</v>
      </c>
      <c r="N161" t="e" vm="1">
        <v>#VALUE!</v>
      </c>
      <c r="O161">
        <v>2048</v>
      </c>
      <c r="P161" t="s">
        <v>628</v>
      </c>
      <c r="Q161" t="s">
        <v>41</v>
      </c>
      <c r="R161">
        <f t="shared" ca="1" si="6"/>
        <v>33</v>
      </c>
      <c r="S161" t="s">
        <v>56</v>
      </c>
      <c r="T161" t="s">
        <v>43</v>
      </c>
      <c r="U161" t="s">
        <v>44</v>
      </c>
      <c r="V161" t="s">
        <v>45</v>
      </c>
      <c r="W161" t="s">
        <v>629</v>
      </c>
      <c r="X161">
        <f t="shared" ca="1" si="8"/>
        <v>6</v>
      </c>
      <c r="Z161" t="str">
        <f t="shared" ca="1" si="7"/>
        <v/>
      </c>
      <c r="AA161" t="s">
        <v>47</v>
      </c>
      <c r="AB161" t="s">
        <v>48</v>
      </c>
      <c r="AC161" t="s">
        <v>122</v>
      </c>
      <c r="AD161">
        <v>14</v>
      </c>
      <c r="AE161" t="s">
        <v>50</v>
      </c>
      <c r="AF161" t="s">
        <v>63</v>
      </c>
      <c r="AG161">
        <v>5</v>
      </c>
      <c r="AH161">
        <v>5</v>
      </c>
      <c r="AI161">
        <v>0</v>
      </c>
      <c r="AJ161" t="s">
        <v>313</v>
      </c>
      <c r="AK161">
        <v>0</v>
      </c>
      <c r="AL161">
        <v>13</v>
      </c>
    </row>
    <row r="162" spans="1:38" x14ac:dyDescent="0.25">
      <c r="A162" t="s">
        <v>630</v>
      </c>
      <c r="B162">
        <v>10038</v>
      </c>
      <c r="C162">
        <v>0</v>
      </c>
      <c r="D162">
        <v>2</v>
      </c>
      <c r="E162">
        <v>1</v>
      </c>
      <c r="F162">
        <v>1</v>
      </c>
      <c r="G162">
        <v>1</v>
      </c>
      <c r="H162">
        <v>3</v>
      </c>
      <c r="I162">
        <v>0</v>
      </c>
      <c r="J162">
        <v>64520</v>
      </c>
      <c r="K162">
        <v>0</v>
      </c>
      <c r="L162">
        <v>1</v>
      </c>
      <c r="M162" t="s">
        <v>208</v>
      </c>
      <c r="N162" t="e" vm="1">
        <v>#VALUE!</v>
      </c>
      <c r="O162">
        <v>1460</v>
      </c>
      <c r="P162" t="s">
        <v>631</v>
      </c>
      <c r="Q162" t="s">
        <v>41</v>
      </c>
      <c r="R162">
        <f t="shared" ca="1" si="6"/>
        <v>37</v>
      </c>
      <c r="S162" t="s">
        <v>79</v>
      </c>
      <c r="T162" t="s">
        <v>43</v>
      </c>
      <c r="U162" t="s">
        <v>44</v>
      </c>
      <c r="V162" t="s">
        <v>106</v>
      </c>
      <c r="W162" t="s">
        <v>579</v>
      </c>
      <c r="X162">
        <f t="shared" ca="1" si="8"/>
        <v>5</v>
      </c>
      <c r="Z162" t="str">
        <f t="shared" ca="1" si="7"/>
        <v/>
      </c>
      <c r="AA162" t="s">
        <v>47</v>
      </c>
      <c r="AB162" t="s">
        <v>195</v>
      </c>
      <c r="AC162" t="s">
        <v>196</v>
      </c>
      <c r="AD162">
        <v>1</v>
      </c>
      <c r="AE162" t="s">
        <v>368</v>
      </c>
      <c r="AF162" t="s">
        <v>63</v>
      </c>
      <c r="AG162">
        <v>5</v>
      </c>
      <c r="AH162">
        <v>4</v>
      </c>
      <c r="AI162">
        <v>4</v>
      </c>
      <c r="AJ162" t="s">
        <v>52</v>
      </c>
      <c r="AK162">
        <v>0</v>
      </c>
      <c r="AL162">
        <v>3</v>
      </c>
    </row>
    <row r="163" spans="1:38" x14ac:dyDescent="0.25">
      <c r="A163" t="s">
        <v>632</v>
      </c>
      <c r="B163">
        <v>10249</v>
      </c>
      <c r="C163">
        <v>1</v>
      </c>
      <c r="D163">
        <v>1</v>
      </c>
      <c r="E163">
        <v>1</v>
      </c>
      <c r="F163">
        <v>5</v>
      </c>
      <c r="G163">
        <v>5</v>
      </c>
      <c r="H163">
        <v>3</v>
      </c>
      <c r="I163">
        <v>0</v>
      </c>
      <c r="J163">
        <v>61962</v>
      </c>
      <c r="K163">
        <v>1</v>
      </c>
      <c r="L163">
        <v>20</v>
      </c>
      <c r="M163" t="s">
        <v>66</v>
      </c>
      <c r="N163" t="e" vm="1">
        <v>#VALUE!</v>
      </c>
      <c r="O163">
        <v>2126</v>
      </c>
      <c r="P163" t="s">
        <v>633</v>
      </c>
      <c r="Q163" t="s">
        <v>41</v>
      </c>
      <c r="R163">
        <f t="shared" ca="1" si="6"/>
        <v>38</v>
      </c>
      <c r="S163" t="s">
        <v>56</v>
      </c>
      <c r="T163" t="s">
        <v>43</v>
      </c>
      <c r="U163" t="s">
        <v>44</v>
      </c>
      <c r="V163" t="s">
        <v>45</v>
      </c>
      <c r="W163" t="s">
        <v>126</v>
      </c>
      <c r="X163">
        <f t="shared" ca="1" si="8"/>
        <v>6</v>
      </c>
      <c r="Y163" t="s">
        <v>634</v>
      </c>
      <c r="Z163">
        <f t="shared" ca="1" si="7"/>
        <v>16</v>
      </c>
      <c r="AA163" t="s">
        <v>59</v>
      </c>
      <c r="AB163" t="s">
        <v>48</v>
      </c>
      <c r="AC163" t="s">
        <v>70</v>
      </c>
      <c r="AD163">
        <v>20</v>
      </c>
      <c r="AE163" t="s">
        <v>83</v>
      </c>
      <c r="AF163" t="s">
        <v>63</v>
      </c>
      <c r="AG163">
        <v>4.9000000000000004</v>
      </c>
      <c r="AH163">
        <v>3</v>
      </c>
      <c r="AI163">
        <v>0</v>
      </c>
      <c r="AJ163" t="s">
        <v>635</v>
      </c>
      <c r="AK163">
        <v>0</v>
      </c>
      <c r="AL163">
        <v>20</v>
      </c>
    </row>
    <row r="164" spans="1:38" x14ac:dyDescent="0.25">
      <c r="A164" t="s">
        <v>636</v>
      </c>
      <c r="B164">
        <v>10232</v>
      </c>
      <c r="C164">
        <v>0</v>
      </c>
      <c r="D164">
        <v>0</v>
      </c>
      <c r="E164">
        <v>0</v>
      </c>
      <c r="F164">
        <v>1</v>
      </c>
      <c r="G164">
        <v>3</v>
      </c>
      <c r="H164">
        <v>3</v>
      </c>
      <c r="I164">
        <v>0</v>
      </c>
      <c r="J164">
        <v>81584</v>
      </c>
      <c r="K164">
        <v>0</v>
      </c>
      <c r="L164">
        <v>22</v>
      </c>
      <c r="M164" t="s">
        <v>637</v>
      </c>
      <c r="N164" t="e" vm="1">
        <v>#VALUE!</v>
      </c>
      <c r="O164">
        <v>1886</v>
      </c>
      <c r="P164" t="s">
        <v>638</v>
      </c>
      <c r="Q164" t="s">
        <v>68</v>
      </c>
      <c r="R164">
        <f t="shared" ca="1" si="6"/>
        <v>38</v>
      </c>
      <c r="S164" t="s">
        <v>42</v>
      </c>
      <c r="T164" t="s">
        <v>43</v>
      </c>
      <c r="U164" t="s">
        <v>44</v>
      </c>
      <c r="V164" t="s">
        <v>165</v>
      </c>
      <c r="W164" t="s">
        <v>639</v>
      </c>
      <c r="X164">
        <f t="shared" ca="1" si="8"/>
        <v>2</v>
      </c>
      <c r="Z164" t="str">
        <f t="shared" ca="1" si="7"/>
        <v/>
      </c>
      <c r="AA164" t="s">
        <v>47</v>
      </c>
      <c r="AB164" t="s">
        <v>60</v>
      </c>
      <c r="AC164" t="s">
        <v>362</v>
      </c>
      <c r="AD164">
        <v>13</v>
      </c>
      <c r="AE164" t="s">
        <v>62</v>
      </c>
      <c r="AF164" t="s">
        <v>63</v>
      </c>
      <c r="AG164">
        <v>4.0999999999999996</v>
      </c>
      <c r="AH164">
        <v>5</v>
      </c>
      <c r="AI164">
        <v>7</v>
      </c>
      <c r="AJ164" t="s">
        <v>525</v>
      </c>
      <c r="AK164">
        <v>0</v>
      </c>
      <c r="AL164">
        <v>2</v>
      </c>
    </row>
    <row r="165" spans="1:38" x14ac:dyDescent="0.25">
      <c r="A165" t="s">
        <v>640</v>
      </c>
      <c r="B165">
        <v>10087</v>
      </c>
      <c r="C165">
        <v>0</v>
      </c>
      <c r="D165">
        <v>0</v>
      </c>
      <c r="E165">
        <v>0</v>
      </c>
      <c r="F165">
        <v>5</v>
      </c>
      <c r="G165">
        <v>5</v>
      </c>
      <c r="H165">
        <v>3</v>
      </c>
      <c r="I165">
        <v>0</v>
      </c>
      <c r="J165">
        <v>63676</v>
      </c>
      <c r="K165">
        <v>1</v>
      </c>
      <c r="L165">
        <v>19</v>
      </c>
      <c r="M165" t="s">
        <v>39</v>
      </c>
      <c r="N165" t="e" vm="1">
        <v>#VALUE!</v>
      </c>
      <c r="O165">
        <v>1810</v>
      </c>
      <c r="P165" t="s">
        <v>641</v>
      </c>
      <c r="Q165" t="s">
        <v>68</v>
      </c>
      <c r="R165">
        <f t="shared" ca="1" si="6"/>
        <v>43</v>
      </c>
      <c r="S165" t="s">
        <v>42</v>
      </c>
      <c r="T165" t="s">
        <v>43</v>
      </c>
      <c r="U165" t="s">
        <v>44</v>
      </c>
      <c r="V165" t="s">
        <v>165</v>
      </c>
      <c r="W165" t="s">
        <v>604</v>
      </c>
      <c r="X165">
        <f t="shared" ca="1" si="8"/>
        <v>7</v>
      </c>
      <c r="Y165" t="s">
        <v>642</v>
      </c>
      <c r="Z165">
        <f t="shared" ca="1" si="7"/>
        <v>407</v>
      </c>
      <c r="AA165" t="s">
        <v>59</v>
      </c>
      <c r="AB165" t="s">
        <v>48</v>
      </c>
      <c r="AC165" t="s">
        <v>70</v>
      </c>
      <c r="AD165">
        <v>20</v>
      </c>
      <c r="AE165" t="s">
        <v>179</v>
      </c>
      <c r="AF165" t="s">
        <v>63</v>
      </c>
      <c r="AG165">
        <v>4.88</v>
      </c>
      <c r="AH165">
        <v>3</v>
      </c>
      <c r="AI165">
        <v>0</v>
      </c>
      <c r="AJ165" t="s">
        <v>643</v>
      </c>
      <c r="AK165">
        <v>0</v>
      </c>
      <c r="AL165">
        <v>17</v>
      </c>
    </row>
    <row r="166" spans="1:38" x14ac:dyDescent="0.25">
      <c r="A166" t="s">
        <v>644</v>
      </c>
      <c r="B166">
        <v>10134</v>
      </c>
      <c r="C166">
        <v>1</v>
      </c>
      <c r="D166">
        <v>1</v>
      </c>
      <c r="E166">
        <v>1</v>
      </c>
      <c r="F166">
        <v>1</v>
      </c>
      <c r="G166">
        <v>1</v>
      </c>
      <c r="H166">
        <v>3</v>
      </c>
      <c r="I166">
        <v>0</v>
      </c>
      <c r="J166">
        <v>93046</v>
      </c>
      <c r="K166">
        <v>0</v>
      </c>
      <c r="L166">
        <v>23</v>
      </c>
      <c r="M166" t="s">
        <v>645</v>
      </c>
      <c r="N166" t="e" vm="1">
        <v>#VALUE!</v>
      </c>
      <c r="O166">
        <v>1460</v>
      </c>
      <c r="P166" t="s">
        <v>646</v>
      </c>
      <c r="Q166" t="s">
        <v>41</v>
      </c>
      <c r="R166">
        <f t="shared" ca="1" si="6"/>
        <v>32</v>
      </c>
      <c r="S166" t="s">
        <v>56</v>
      </c>
      <c r="T166" t="s">
        <v>43</v>
      </c>
      <c r="U166" t="s">
        <v>44</v>
      </c>
      <c r="V166" t="s">
        <v>45</v>
      </c>
      <c r="W166" t="s">
        <v>647</v>
      </c>
      <c r="X166">
        <f t="shared" ca="1" si="8"/>
        <v>3</v>
      </c>
      <c r="Z166" t="str">
        <f t="shared" ca="1" si="7"/>
        <v/>
      </c>
      <c r="AA166" t="s">
        <v>47</v>
      </c>
      <c r="AB166" t="s">
        <v>195</v>
      </c>
      <c r="AC166" t="s">
        <v>201</v>
      </c>
      <c r="AD166">
        <v>2</v>
      </c>
      <c r="AE166" t="s">
        <v>179</v>
      </c>
      <c r="AF166" t="s">
        <v>63</v>
      </c>
      <c r="AG166">
        <v>4.0999999999999996</v>
      </c>
      <c r="AH166">
        <v>4</v>
      </c>
      <c r="AI166">
        <v>0</v>
      </c>
      <c r="AJ166" t="s">
        <v>321</v>
      </c>
      <c r="AK166">
        <v>0</v>
      </c>
      <c r="AL166">
        <v>20</v>
      </c>
    </row>
    <row r="167" spans="1:38" x14ac:dyDescent="0.25">
      <c r="A167" t="s">
        <v>648</v>
      </c>
      <c r="B167">
        <v>10251</v>
      </c>
      <c r="C167">
        <v>1</v>
      </c>
      <c r="D167">
        <v>1</v>
      </c>
      <c r="E167">
        <v>1</v>
      </c>
      <c r="F167">
        <v>1</v>
      </c>
      <c r="G167">
        <v>5</v>
      </c>
      <c r="H167">
        <v>3</v>
      </c>
      <c r="I167">
        <v>0</v>
      </c>
      <c r="J167">
        <v>64738</v>
      </c>
      <c r="K167">
        <v>0</v>
      </c>
      <c r="L167">
        <v>19</v>
      </c>
      <c r="M167" t="s">
        <v>39</v>
      </c>
      <c r="N167" t="e" vm="1">
        <v>#VALUE!</v>
      </c>
      <c r="O167">
        <v>1776</v>
      </c>
      <c r="P167" t="s">
        <v>649</v>
      </c>
      <c r="Q167" t="s">
        <v>41</v>
      </c>
      <c r="R167">
        <f t="shared" ca="1" si="6"/>
        <v>41</v>
      </c>
      <c r="S167" t="s">
        <v>56</v>
      </c>
      <c r="T167" t="s">
        <v>43</v>
      </c>
      <c r="U167" t="s">
        <v>44</v>
      </c>
      <c r="V167" t="s">
        <v>165</v>
      </c>
      <c r="W167" t="s">
        <v>270</v>
      </c>
      <c r="X167">
        <f t="shared" ca="1" si="8"/>
        <v>6</v>
      </c>
      <c r="Z167" t="str">
        <f t="shared" ca="1" si="7"/>
        <v/>
      </c>
      <c r="AA167" t="s">
        <v>47</v>
      </c>
      <c r="AB167" t="s">
        <v>48</v>
      </c>
      <c r="AC167" t="s">
        <v>75</v>
      </c>
      <c r="AD167">
        <v>16</v>
      </c>
      <c r="AE167" t="s">
        <v>83</v>
      </c>
      <c r="AF167" t="s">
        <v>63</v>
      </c>
      <c r="AG167">
        <v>4.0999999999999996</v>
      </c>
      <c r="AH167">
        <v>3</v>
      </c>
      <c r="AI167">
        <v>0</v>
      </c>
      <c r="AJ167" t="s">
        <v>242</v>
      </c>
      <c r="AK167">
        <v>0</v>
      </c>
      <c r="AL167">
        <v>10</v>
      </c>
    </row>
    <row r="168" spans="1:38" x14ac:dyDescent="0.25">
      <c r="A168" t="s">
        <v>650</v>
      </c>
      <c r="B168">
        <v>10103</v>
      </c>
      <c r="C168">
        <v>0</v>
      </c>
      <c r="D168">
        <v>3</v>
      </c>
      <c r="E168">
        <v>1</v>
      </c>
      <c r="F168">
        <v>1</v>
      </c>
      <c r="G168">
        <v>6</v>
      </c>
      <c r="H168">
        <v>3</v>
      </c>
      <c r="I168">
        <v>0</v>
      </c>
      <c r="J168">
        <v>70468</v>
      </c>
      <c r="K168">
        <v>0</v>
      </c>
      <c r="L168">
        <v>3</v>
      </c>
      <c r="M168" t="s">
        <v>222</v>
      </c>
      <c r="N168" t="e" vm="17">
        <v>#VALUE!</v>
      </c>
      <c r="O168">
        <v>84111</v>
      </c>
      <c r="P168" t="s">
        <v>651</v>
      </c>
      <c r="Q168" t="s">
        <v>41</v>
      </c>
      <c r="R168">
        <f t="shared" ca="1" si="6"/>
        <v>35</v>
      </c>
      <c r="S168" t="s">
        <v>218</v>
      </c>
      <c r="T168" t="s">
        <v>43</v>
      </c>
      <c r="U168" t="s">
        <v>44</v>
      </c>
      <c r="V168" t="s">
        <v>106</v>
      </c>
      <c r="W168" t="s">
        <v>652</v>
      </c>
      <c r="X168">
        <f t="shared" ca="1" si="8"/>
        <v>6</v>
      </c>
      <c r="Z168" t="str">
        <f t="shared" ca="1" si="7"/>
        <v/>
      </c>
      <c r="AA168" t="s">
        <v>47</v>
      </c>
      <c r="AB168" t="s">
        <v>226</v>
      </c>
      <c r="AC168" t="s">
        <v>227</v>
      </c>
      <c r="AD168">
        <v>17</v>
      </c>
      <c r="AE168" t="s">
        <v>368</v>
      </c>
      <c r="AF168" t="s">
        <v>63</v>
      </c>
      <c r="AG168">
        <v>4.53</v>
      </c>
      <c r="AH168">
        <v>3</v>
      </c>
      <c r="AI168">
        <v>0</v>
      </c>
      <c r="AJ168" t="s">
        <v>369</v>
      </c>
      <c r="AK168">
        <v>0</v>
      </c>
      <c r="AL168">
        <v>16</v>
      </c>
    </row>
    <row r="169" spans="1:38" x14ac:dyDescent="0.25">
      <c r="A169" t="s">
        <v>653</v>
      </c>
      <c r="B169">
        <v>10017</v>
      </c>
      <c r="C169">
        <v>1</v>
      </c>
      <c r="D169">
        <v>1</v>
      </c>
      <c r="E169">
        <v>0</v>
      </c>
      <c r="F169">
        <v>1</v>
      </c>
      <c r="G169">
        <v>5</v>
      </c>
      <c r="H169">
        <v>4</v>
      </c>
      <c r="I169">
        <v>0</v>
      </c>
      <c r="J169">
        <v>77915</v>
      </c>
      <c r="K169">
        <v>0</v>
      </c>
      <c r="L169">
        <v>18</v>
      </c>
      <c r="M169" t="s">
        <v>198</v>
      </c>
      <c r="N169" t="e" vm="1">
        <v>#VALUE!</v>
      </c>
      <c r="O169">
        <v>2110</v>
      </c>
      <c r="P169" t="s">
        <v>654</v>
      </c>
      <c r="Q169" t="s">
        <v>68</v>
      </c>
      <c r="R169">
        <f t="shared" ca="1" si="6"/>
        <v>36</v>
      </c>
      <c r="S169" t="s">
        <v>56</v>
      </c>
      <c r="T169" t="s">
        <v>43</v>
      </c>
      <c r="U169" t="s">
        <v>44</v>
      </c>
      <c r="V169" t="s">
        <v>45</v>
      </c>
      <c r="W169" t="s">
        <v>100</v>
      </c>
      <c r="X169">
        <f t="shared" ca="1" si="8"/>
        <v>5</v>
      </c>
      <c r="Z169" t="str">
        <f t="shared" ca="1" si="7"/>
        <v/>
      </c>
      <c r="AA169" t="s">
        <v>47</v>
      </c>
      <c r="AB169" t="s">
        <v>48</v>
      </c>
      <c r="AC169" t="s">
        <v>201</v>
      </c>
      <c r="AD169">
        <v>2</v>
      </c>
      <c r="AE169" t="s">
        <v>368</v>
      </c>
      <c r="AF169" t="s">
        <v>51</v>
      </c>
      <c r="AG169">
        <v>4.0999999999999996</v>
      </c>
      <c r="AH169">
        <v>3</v>
      </c>
      <c r="AI169">
        <v>0</v>
      </c>
      <c r="AJ169" t="s">
        <v>220</v>
      </c>
      <c r="AK169">
        <v>0</v>
      </c>
      <c r="AL169">
        <v>11</v>
      </c>
    </row>
    <row r="170" spans="1:38" x14ac:dyDescent="0.25">
      <c r="A170" t="s">
        <v>655</v>
      </c>
      <c r="B170">
        <v>10186</v>
      </c>
      <c r="C170">
        <v>1</v>
      </c>
      <c r="D170">
        <v>1</v>
      </c>
      <c r="E170">
        <v>0</v>
      </c>
      <c r="F170">
        <v>5</v>
      </c>
      <c r="G170">
        <v>5</v>
      </c>
      <c r="H170">
        <v>3</v>
      </c>
      <c r="I170">
        <v>0</v>
      </c>
      <c r="J170">
        <v>52624</v>
      </c>
      <c r="K170">
        <v>1</v>
      </c>
      <c r="L170">
        <v>19</v>
      </c>
      <c r="M170" t="s">
        <v>39</v>
      </c>
      <c r="N170" t="e" vm="1">
        <v>#VALUE!</v>
      </c>
      <c r="O170">
        <v>1886</v>
      </c>
      <c r="P170" t="s">
        <v>656</v>
      </c>
      <c r="Q170" t="s">
        <v>68</v>
      </c>
      <c r="R170">
        <f t="shared" ca="1" si="6"/>
        <v>43</v>
      </c>
      <c r="S170" t="s">
        <v>56</v>
      </c>
      <c r="T170" t="s">
        <v>43</v>
      </c>
      <c r="U170" t="s">
        <v>44</v>
      </c>
      <c r="V170" t="s">
        <v>45</v>
      </c>
      <c r="W170" t="s">
        <v>46</v>
      </c>
      <c r="X170">
        <f t="shared" ca="1" si="8"/>
        <v>7</v>
      </c>
      <c r="Y170" t="s">
        <v>657</v>
      </c>
      <c r="Z170">
        <f t="shared" ca="1" si="7"/>
        <v>250</v>
      </c>
      <c r="AA170" t="s">
        <v>59</v>
      </c>
      <c r="AB170" t="s">
        <v>48</v>
      </c>
      <c r="AC170" t="s">
        <v>49</v>
      </c>
      <c r="AD170">
        <v>22</v>
      </c>
      <c r="AE170" t="s">
        <v>62</v>
      </c>
      <c r="AF170" t="s">
        <v>63</v>
      </c>
      <c r="AG170">
        <v>3.18</v>
      </c>
      <c r="AH170">
        <v>4</v>
      </c>
      <c r="AI170">
        <v>0</v>
      </c>
      <c r="AJ170" t="s">
        <v>658</v>
      </c>
      <c r="AK170">
        <v>0</v>
      </c>
      <c r="AL170">
        <v>16</v>
      </c>
    </row>
    <row r="171" spans="1:38" x14ac:dyDescent="0.25">
      <c r="A171" t="s">
        <v>659</v>
      </c>
      <c r="B171">
        <v>10137</v>
      </c>
      <c r="C171">
        <v>1</v>
      </c>
      <c r="D171">
        <v>1</v>
      </c>
      <c r="E171">
        <v>1</v>
      </c>
      <c r="F171">
        <v>3</v>
      </c>
      <c r="G171">
        <v>5</v>
      </c>
      <c r="H171">
        <v>3</v>
      </c>
      <c r="I171">
        <v>0</v>
      </c>
      <c r="J171">
        <v>63450</v>
      </c>
      <c r="K171">
        <v>0</v>
      </c>
      <c r="L171">
        <v>20</v>
      </c>
      <c r="M171" t="s">
        <v>66</v>
      </c>
      <c r="N171" t="e" vm="1">
        <v>#VALUE!</v>
      </c>
      <c r="O171">
        <v>1770</v>
      </c>
      <c r="P171" t="s">
        <v>660</v>
      </c>
      <c r="Q171" t="s">
        <v>41</v>
      </c>
      <c r="R171">
        <f t="shared" ca="1" si="6"/>
        <v>38</v>
      </c>
      <c r="S171" t="s">
        <v>56</v>
      </c>
      <c r="T171" t="s">
        <v>43</v>
      </c>
      <c r="U171" t="s">
        <v>44</v>
      </c>
      <c r="V171" t="s">
        <v>45</v>
      </c>
      <c r="W171" t="s">
        <v>166</v>
      </c>
      <c r="X171">
        <f t="shared" ca="1" si="8"/>
        <v>5</v>
      </c>
      <c r="Z171" t="str">
        <f t="shared" ca="1" si="7"/>
        <v/>
      </c>
      <c r="AA171" t="s">
        <v>47</v>
      </c>
      <c r="AB171" t="s">
        <v>48</v>
      </c>
      <c r="AC171" t="s">
        <v>136</v>
      </c>
      <c r="AD171">
        <v>18</v>
      </c>
      <c r="AE171" t="s">
        <v>50</v>
      </c>
      <c r="AF171" t="s">
        <v>63</v>
      </c>
      <c r="AG171">
        <v>4</v>
      </c>
      <c r="AH171">
        <v>3</v>
      </c>
      <c r="AI171">
        <v>0</v>
      </c>
      <c r="AJ171" t="s">
        <v>116</v>
      </c>
      <c r="AK171">
        <v>0</v>
      </c>
      <c r="AL171">
        <v>7</v>
      </c>
    </row>
    <row r="172" spans="1:38" x14ac:dyDescent="0.25">
      <c r="A172" t="s">
        <v>661</v>
      </c>
      <c r="B172">
        <v>10008</v>
      </c>
      <c r="C172">
        <v>0</v>
      </c>
      <c r="D172">
        <v>0</v>
      </c>
      <c r="E172">
        <v>0</v>
      </c>
      <c r="F172">
        <v>1</v>
      </c>
      <c r="G172">
        <v>3</v>
      </c>
      <c r="H172">
        <v>4</v>
      </c>
      <c r="I172">
        <v>1</v>
      </c>
      <c r="J172">
        <v>51777</v>
      </c>
      <c r="K172">
        <v>0</v>
      </c>
      <c r="L172">
        <v>14</v>
      </c>
      <c r="M172" t="s">
        <v>112</v>
      </c>
      <c r="N172" t="e" vm="3">
        <v>#VALUE!</v>
      </c>
      <c r="O172">
        <v>6070</v>
      </c>
      <c r="P172" t="s">
        <v>662</v>
      </c>
      <c r="Q172" t="s">
        <v>68</v>
      </c>
      <c r="R172">
        <f t="shared" ca="1" si="6"/>
        <v>34</v>
      </c>
      <c r="S172" t="s">
        <v>42</v>
      </c>
      <c r="T172" t="s">
        <v>43</v>
      </c>
      <c r="U172" t="s">
        <v>119</v>
      </c>
      <c r="V172" t="s">
        <v>106</v>
      </c>
      <c r="W172" t="s">
        <v>663</v>
      </c>
      <c r="X172">
        <f t="shared" ca="1" si="8"/>
        <v>8</v>
      </c>
      <c r="Z172" t="str">
        <f t="shared" ca="1" si="7"/>
        <v/>
      </c>
      <c r="AA172" t="s">
        <v>47</v>
      </c>
      <c r="AB172" t="s">
        <v>60</v>
      </c>
      <c r="AC172" t="s">
        <v>285</v>
      </c>
      <c r="AD172">
        <v>6</v>
      </c>
      <c r="AE172" t="s">
        <v>109</v>
      </c>
      <c r="AF172" t="s">
        <v>51</v>
      </c>
      <c r="AG172">
        <v>4.6399999999999997</v>
      </c>
      <c r="AH172">
        <v>4</v>
      </c>
      <c r="AI172">
        <v>5</v>
      </c>
      <c r="AJ172" t="s">
        <v>110</v>
      </c>
      <c r="AK172">
        <v>0</v>
      </c>
      <c r="AL172">
        <v>14</v>
      </c>
    </row>
    <row r="173" spans="1:38" x14ac:dyDescent="0.25">
      <c r="A173" t="s">
        <v>664</v>
      </c>
      <c r="B173">
        <v>10096</v>
      </c>
      <c r="C173">
        <v>0</v>
      </c>
      <c r="D173">
        <v>4</v>
      </c>
      <c r="E173">
        <v>0</v>
      </c>
      <c r="F173">
        <v>5</v>
      </c>
      <c r="G173">
        <v>5</v>
      </c>
      <c r="H173">
        <v>3</v>
      </c>
      <c r="I173">
        <v>0</v>
      </c>
      <c r="J173">
        <v>67237</v>
      </c>
      <c r="K173">
        <v>1</v>
      </c>
      <c r="L173">
        <v>20</v>
      </c>
      <c r="M173" t="s">
        <v>66</v>
      </c>
      <c r="N173" t="e" vm="1">
        <v>#VALUE!</v>
      </c>
      <c r="O173">
        <v>2122</v>
      </c>
      <c r="P173" t="s">
        <v>665</v>
      </c>
      <c r="Q173" t="s">
        <v>68</v>
      </c>
      <c r="R173">
        <f t="shared" ca="1" si="6"/>
        <v>46</v>
      </c>
      <c r="S173" t="s">
        <v>99</v>
      </c>
      <c r="T173" t="s">
        <v>43</v>
      </c>
      <c r="U173" t="s">
        <v>44</v>
      </c>
      <c r="V173" t="s">
        <v>45</v>
      </c>
      <c r="W173" t="s">
        <v>166</v>
      </c>
      <c r="X173">
        <f t="shared" ca="1" si="8"/>
        <v>5</v>
      </c>
      <c r="Y173" t="s">
        <v>666</v>
      </c>
      <c r="Z173">
        <f t="shared" ca="1" si="7"/>
        <v>339</v>
      </c>
      <c r="AA173" t="s">
        <v>59</v>
      </c>
      <c r="AB173" t="s">
        <v>48</v>
      </c>
      <c r="AC173" t="s">
        <v>49</v>
      </c>
      <c r="AD173">
        <v>22</v>
      </c>
      <c r="AE173" t="s">
        <v>50</v>
      </c>
      <c r="AF173" t="s">
        <v>63</v>
      </c>
      <c r="AG173">
        <v>4.6500000000000004</v>
      </c>
      <c r="AH173">
        <v>4</v>
      </c>
      <c r="AI173">
        <v>0</v>
      </c>
      <c r="AJ173" t="s">
        <v>667</v>
      </c>
      <c r="AK173">
        <v>0</v>
      </c>
      <c r="AL173">
        <v>15</v>
      </c>
    </row>
    <row r="174" spans="1:38" x14ac:dyDescent="0.25">
      <c r="A174" t="s">
        <v>668</v>
      </c>
      <c r="B174">
        <v>10035</v>
      </c>
      <c r="C174">
        <v>0</v>
      </c>
      <c r="D174">
        <v>0</v>
      </c>
      <c r="E174">
        <v>0</v>
      </c>
      <c r="F174">
        <v>1</v>
      </c>
      <c r="G174">
        <v>5</v>
      </c>
      <c r="H174">
        <v>4</v>
      </c>
      <c r="I174">
        <v>0</v>
      </c>
      <c r="J174">
        <v>73330</v>
      </c>
      <c r="K174">
        <v>0</v>
      </c>
      <c r="L174">
        <v>20</v>
      </c>
      <c r="M174" t="s">
        <v>66</v>
      </c>
      <c r="N174" t="e" vm="1">
        <v>#VALUE!</v>
      </c>
      <c r="O174">
        <v>2324</v>
      </c>
      <c r="P174" t="s">
        <v>669</v>
      </c>
      <c r="Q174" t="s">
        <v>68</v>
      </c>
      <c r="R174">
        <f t="shared" ca="1" si="6"/>
        <v>36</v>
      </c>
      <c r="S174" t="s">
        <v>42</v>
      </c>
      <c r="T174" t="s">
        <v>43</v>
      </c>
      <c r="U174" t="s">
        <v>44</v>
      </c>
      <c r="V174" t="s">
        <v>106</v>
      </c>
      <c r="W174" t="s">
        <v>172</v>
      </c>
      <c r="X174">
        <f t="shared" ca="1" si="8"/>
        <v>5</v>
      </c>
      <c r="Z174" t="str">
        <f t="shared" ca="1" si="7"/>
        <v/>
      </c>
      <c r="AA174" t="s">
        <v>47</v>
      </c>
      <c r="AB174" t="s">
        <v>48</v>
      </c>
      <c r="AC174" t="s">
        <v>75</v>
      </c>
      <c r="AD174">
        <v>16</v>
      </c>
      <c r="AE174" t="s">
        <v>62</v>
      </c>
      <c r="AF174" t="s">
        <v>51</v>
      </c>
      <c r="AG174">
        <v>4.2</v>
      </c>
      <c r="AH174">
        <v>4</v>
      </c>
      <c r="AI174">
        <v>0</v>
      </c>
      <c r="AJ174" t="s">
        <v>257</v>
      </c>
      <c r="AK174">
        <v>0</v>
      </c>
      <c r="AL174">
        <v>19</v>
      </c>
    </row>
    <row r="175" spans="1:38" x14ac:dyDescent="0.25">
      <c r="A175" t="s">
        <v>670</v>
      </c>
      <c r="B175">
        <v>10057</v>
      </c>
      <c r="C175">
        <v>1</v>
      </c>
      <c r="D175">
        <v>1</v>
      </c>
      <c r="E175">
        <v>0</v>
      </c>
      <c r="F175">
        <v>3</v>
      </c>
      <c r="G175">
        <v>5</v>
      </c>
      <c r="H175">
        <v>3</v>
      </c>
      <c r="I175">
        <v>0</v>
      </c>
      <c r="J175">
        <v>52057</v>
      </c>
      <c r="K175">
        <v>0</v>
      </c>
      <c r="L175">
        <v>19</v>
      </c>
      <c r="M175" t="s">
        <v>39</v>
      </c>
      <c r="N175" t="e" vm="1">
        <v>#VALUE!</v>
      </c>
      <c r="O175">
        <v>2122</v>
      </c>
      <c r="P175" t="s">
        <v>671</v>
      </c>
      <c r="Q175" t="s">
        <v>68</v>
      </c>
      <c r="R175">
        <f t="shared" ca="1" si="6"/>
        <v>41</v>
      </c>
      <c r="S175" t="s">
        <v>56</v>
      </c>
      <c r="T175" t="s">
        <v>43</v>
      </c>
      <c r="U175" t="s">
        <v>44</v>
      </c>
      <c r="V175" t="s">
        <v>106</v>
      </c>
      <c r="W175" t="s">
        <v>194</v>
      </c>
      <c r="X175">
        <f t="shared" ca="1" si="8"/>
        <v>4</v>
      </c>
      <c r="Z175" t="str">
        <f t="shared" ca="1" si="7"/>
        <v/>
      </c>
      <c r="AA175" t="s">
        <v>47</v>
      </c>
      <c r="AB175" t="s">
        <v>48</v>
      </c>
      <c r="AC175" t="s">
        <v>75</v>
      </c>
      <c r="AD175">
        <v>16</v>
      </c>
      <c r="AE175" t="s">
        <v>368</v>
      </c>
      <c r="AF175" t="s">
        <v>63</v>
      </c>
      <c r="AG175">
        <v>5</v>
      </c>
      <c r="AH175">
        <v>3</v>
      </c>
      <c r="AI175">
        <v>0</v>
      </c>
      <c r="AJ175" t="s">
        <v>363</v>
      </c>
      <c r="AK175">
        <v>0</v>
      </c>
      <c r="AL175">
        <v>6</v>
      </c>
    </row>
    <row r="176" spans="1:38" x14ac:dyDescent="0.25">
      <c r="A176" t="s">
        <v>672</v>
      </c>
      <c r="B176">
        <v>10004</v>
      </c>
      <c r="C176">
        <v>0</v>
      </c>
      <c r="D176">
        <v>0</v>
      </c>
      <c r="E176">
        <v>0</v>
      </c>
      <c r="F176">
        <v>5</v>
      </c>
      <c r="G176">
        <v>5</v>
      </c>
      <c r="H176">
        <v>4</v>
      </c>
      <c r="I176">
        <v>1</v>
      </c>
      <c r="J176">
        <v>47434</v>
      </c>
      <c r="K176">
        <v>1</v>
      </c>
      <c r="L176">
        <v>19</v>
      </c>
      <c r="M176" t="s">
        <v>39</v>
      </c>
      <c r="N176" t="e" vm="1">
        <v>#VALUE!</v>
      </c>
      <c r="O176">
        <v>1844</v>
      </c>
      <c r="P176" t="s">
        <v>673</v>
      </c>
      <c r="Q176" t="s">
        <v>68</v>
      </c>
      <c r="R176">
        <f t="shared" ca="1" si="6"/>
        <v>50</v>
      </c>
      <c r="S176" t="s">
        <v>42</v>
      </c>
      <c r="T176" t="s">
        <v>43</v>
      </c>
      <c r="U176" t="s">
        <v>119</v>
      </c>
      <c r="V176" t="s">
        <v>106</v>
      </c>
      <c r="W176" t="s">
        <v>338</v>
      </c>
      <c r="X176">
        <f t="shared" ca="1" si="8"/>
        <v>7</v>
      </c>
      <c r="Y176" t="s">
        <v>52</v>
      </c>
      <c r="Z176" t="str">
        <f t="shared" ca="1" si="7"/>
        <v/>
      </c>
      <c r="AA176" t="s">
        <v>59</v>
      </c>
      <c r="AB176" t="s">
        <v>48</v>
      </c>
      <c r="AC176" t="s">
        <v>82</v>
      </c>
      <c r="AD176">
        <v>39</v>
      </c>
      <c r="AE176" t="s">
        <v>109</v>
      </c>
      <c r="AF176" t="s">
        <v>51</v>
      </c>
      <c r="AG176">
        <v>5</v>
      </c>
      <c r="AH176">
        <v>4</v>
      </c>
      <c r="AI176">
        <v>0</v>
      </c>
      <c r="AJ176" t="s">
        <v>674</v>
      </c>
      <c r="AK176">
        <v>0</v>
      </c>
      <c r="AL176">
        <v>17</v>
      </c>
    </row>
    <row r="177" spans="1:38" x14ac:dyDescent="0.25">
      <c r="A177" t="s">
        <v>675</v>
      </c>
      <c r="B177">
        <v>10191</v>
      </c>
      <c r="C177">
        <v>0</v>
      </c>
      <c r="D177">
        <v>4</v>
      </c>
      <c r="E177">
        <v>1</v>
      </c>
      <c r="F177">
        <v>5</v>
      </c>
      <c r="G177">
        <v>5</v>
      </c>
      <c r="H177">
        <v>3</v>
      </c>
      <c r="I177">
        <v>0</v>
      </c>
      <c r="J177">
        <v>52788</v>
      </c>
      <c r="K177">
        <v>1</v>
      </c>
      <c r="L177">
        <v>19</v>
      </c>
      <c r="M177" t="s">
        <v>39</v>
      </c>
      <c r="N177" t="e" vm="1">
        <v>#VALUE!</v>
      </c>
      <c r="O177">
        <v>1938</v>
      </c>
      <c r="P177" t="s">
        <v>676</v>
      </c>
      <c r="Q177" t="s">
        <v>41</v>
      </c>
      <c r="R177">
        <f t="shared" ca="1" si="6"/>
        <v>48</v>
      </c>
      <c r="S177" t="s">
        <v>99</v>
      </c>
      <c r="T177" t="s">
        <v>43</v>
      </c>
      <c r="U177" t="s">
        <v>44</v>
      </c>
      <c r="V177" t="s">
        <v>45</v>
      </c>
      <c r="W177" t="s">
        <v>140</v>
      </c>
      <c r="X177">
        <f t="shared" ca="1" si="8"/>
        <v>6</v>
      </c>
      <c r="Y177" t="s">
        <v>677</v>
      </c>
      <c r="Z177">
        <f t="shared" ca="1" si="7"/>
        <v>202</v>
      </c>
      <c r="AA177" t="s">
        <v>59</v>
      </c>
      <c r="AB177" t="s">
        <v>48</v>
      </c>
      <c r="AC177" t="s">
        <v>88</v>
      </c>
      <c r="AD177">
        <v>11</v>
      </c>
      <c r="AE177" t="s">
        <v>62</v>
      </c>
      <c r="AF177" t="s">
        <v>63</v>
      </c>
      <c r="AG177">
        <v>3.08</v>
      </c>
      <c r="AH177">
        <v>4</v>
      </c>
      <c r="AI177">
        <v>0</v>
      </c>
      <c r="AJ177" t="s">
        <v>678</v>
      </c>
      <c r="AK177">
        <v>0</v>
      </c>
      <c r="AL177">
        <v>18</v>
      </c>
    </row>
    <row r="178" spans="1:38" x14ac:dyDescent="0.25">
      <c r="A178" t="s">
        <v>679</v>
      </c>
      <c r="B178">
        <v>10219</v>
      </c>
      <c r="C178">
        <v>0</v>
      </c>
      <c r="D178">
        <v>0</v>
      </c>
      <c r="E178">
        <v>0</v>
      </c>
      <c r="F178">
        <v>1</v>
      </c>
      <c r="G178">
        <v>5</v>
      </c>
      <c r="H178">
        <v>3</v>
      </c>
      <c r="I178">
        <v>0</v>
      </c>
      <c r="J178">
        <v>45395</v>
      </c>
      <c r="K178">
        <v>0</v>
      </c>
      <c r="L178">
        <v>19</v>
      </c>
      <c r="M178" t="s">
        <v>39</v>
      </c>
      <c r="N178" t="e" vm="1">
        <v>#VALUE!</v>
      </c>
      <c r="O178">
        <v>2189</v>
      </c>
      <c r="P178" t="s">
        <v>680</v>
      </c>
      <c r="Q178" t="s">
        <v>68</v>
      </c>
      <c r="R178">
        <f t="shared" ca="1" si="6"/>
        <v>31</v>
      </c>
      <c r="S178" t="s">
        <v>42</v>
      </c>
      <c r="T178" t="s">
        <v>43</v>
      </c>
      <c r="U178" t="s">
        <v>44</v>
      </c>
      <c r="V178" t="s">
        <v>45</v>
      </c>
      <c r="W178" t="s">
        <v>579</v>
      </c>
      <c r="X178">
        <f t="shared" ca="1" si="8"/>
        <v>5</v>
      </c>
      <c r="Z178" t="str">
        <f t="shared" ca="1" si="7"/>
        <v/>
      </c>
      <c r="AA178" t="s">
        <v>47</v>
      </c>
      <c r="AB178" t="s">
        <v>48</v>
      </c>
      <c r="AC178" t="s">
        <v>101</v>
      </c>
      <c r="AD178">
        <v>19</v>
      </c>
      <c r="AE178" t="s">
        <v>50</v>
      </c>
      <c r="AF178" t="s">
        <v>63</v>
      </c>
      <c r="AG178">
        <v>4.5999999999999996</v>
      </c>
      <c r="AH178">
        <v>4</v>
      </c>
      <c r="AI178">
        <v>0</v>
      </c>
      <c r="AJ178" t="s">
        <v>460</v>
      </c>
      <c r="AK178">
        <v>0</v>
      </c>
      <c r="AL178">
        <v>14</v>
      </c>
    </row>
    <row r="179" spans="1:38" x14ac:dyDescent="0.25">
      <c r="A179" t="s">
        <v>681</v>
      </c>
      <c r="B179">
        <v>10077</v>
      </c>
      <c r="C179">
        <v>1</v>
      </c>
      <c r="D179">
        <v>1</v>
      </c>
      <c r="E179">
        <v>0</v>
      </c>
      <c r="F179">
        <v>2</v>
      </c>
      <c r="G179">
        <v>5</v>
      </c>
      <c r="H179">
        <v>3</v>
      </c>
      <c r="I179">
        <v>0</v>
      </c>
      <c r="J179">
        <v>62385</v>
      </c>
      <c r="K179">
        <v>0</v>
      </c>
      <c r="L179">
        <v>20</v>
      </c>
      <c r="M179" t="s">
        <v>66</v>
      </c>
      <c r="N179" t="e" vm="1">
        <v>#VALUE!</v>
      </c>
      <c r="O179">
        <v>2324</v>
      </c>
      <c r="P179" t="s">
        <v>682</v>
      </c>
      <c r="Q179" t="s">
        <v>68</v>
      </c>
      <c r="R179">
        <f t="shared" ca="1" si="6"/>
        <v>39</v>
      </c>
      <c r="S179" t="s">
        <v>56</v>
      </c>
      <c r="T179" t="s">
        <v>43</v>
      </c>
      <c r="U179" t="s">
        <v>44</v>
      </c>
      <c r="V179" t="s">
        <v>45</v>
      </c>
      <c r="W179" t="s">
        <v>683</v>
      </c>
      <c r="X179">
        <f t="shared" ca="1" si="8"/>
        <v>2</v>
      </c>
      <c r="Z179" t="str">
        <f t="shared" ca="1" si="7"/>
        <v/>
      </c>
      <c r="AA179" t="s">
        <v>47</v>
      </c>
      <c r="AB179" t="s">
        <v>48</v>
      </c>
      <c r="AC179" t="s">
        <v>82</v>
      </c>
      <c r="AE179" t="s">
        <v>50</v>
      </c>
      <c r="AF179" t="s">
        <v>63</v>
      </c>
      <c r="AG179">
        <v>5</v>
      </c>
      <c r="AH179">
        <v>3</v>
      </c>
      <c r="AI179">
        <v>0</v>
      </c>
      <c r="AJ179" t="s">
        <v>220</v>
      </c>
      <c r="AK179">
        <v>0</v>
      </c>
      <c r="AL179">
        <v>4</v>
      </c>
    </row>
    <row r="180" spans="1:38" x14ac:dyDescent="0.25">
      <c r="A180" t="s">
        <v>684</v>
      </c>
      <c r="B180">
        <v>10073</v>
      </c>
      <c r="C180">
        <v>1</v>
      </c>
      <c r="D180">
        <v>1</v>
      </c>
      <c r="E180">
        <v>0</v>
      </c>
      <c r="F180">
        <v>5</v>
      </c>
      <c r="G180">
        <v>5</v>
      </c>
      <c r="H180">
        <v>3</v>
      </c>
      <c r="I180">
        <v>0</v>
      </c>
      <c r="J180">
        <v>68407</v>
      </c>
      <c r="K180">
        <v>1</v>
      </c>
      <c r="L180">
        <v>20</v>
      </c>
      <c r="M180" t="s">
        <v>66</v>
      </c>
      <c r="N180" t="e" vm="1">
        <v>#VALUE!</v>
      </c>
      <c r="O180">
        <v>2176</v>
      </c>
      <c r="P180" t="s">
        <v>685</v>
      </c>
      <c r="Q180" t="s">
        <v>68</v>
      </c>
      <c r="R180">
        <f t="shared" ca="1" si="6"/>
        <v>32</v>
      </c>
      <c r="S180" t="s">
        <v>56</v>
      </c>
      <c r="T180" t="s">
        <v>43</v>
      </c>
      <c r="U180" t="s">
        <v>44</v>
      </c>
      <c r="V180" t="s">
        <v>134</v>
      </c>
      <c r="W180" t="s">
        <v>46</v>
      </c>
      <c r="X180">
        <f t="shared" ca="1" si="8"/>
        <v>7</v>
      </c>
      <c r="Y180" t="s">
        <v>686</v>
      </c>
      <c r="Z180">
        <f t="shared" ca="1" si="7"/>
        <v>498</v>
      </c>
      <c r="AA180" t="s">
        <v>59</v>
      </c>
      <c r="AB180" t="s">
        <v>48</v>
      </c>
      <c r="AC180" t="s">
        <v>88</v>
      </c>
      <c r="AD180">
        <v>11</v>
      </c>
      <c r="AE180" t="s">
        <v>50</v>
      </c>
      <c r="AF180" t="s">
        <v>63</v>
      </c>
      <c r="AG180">
        <v>5</v>
      </c>
      <c r="AH180">
        <v>4</v>
      </c>
      <c r="AI180">
        <v>0</v>
      </c>
      <c r="AJ180" t="s">
        <v>335</v>
      </c>
      <c r="AK180">
        <v>0</v>
      </c>
      <c r="AL180">
        <v>16</v>
      </c>
    </row>
    <row r="181" spans="1:38" x14ac:dyDescent="0.25">
      <c r="A181" t="s">
        <v>687</v>
      </c>
      <c r="B181">
        <v>10279</v>
      </c>
      <c r="C181">
        <v>1</v>
      </c>
      <c r="D181">
        <v>1</v>
      </c>
      <c r="E181">
        <v>0</v>
      </c>
      <c r="F181">
        <v>1</v>
      </c>
      <c r="G181">
        <v>5</v>
      </c>
      <c r="H181">
        <v>3</v>
      </c>
      <c r="I181">
        <v>0</v>
      </c>
      <c r="J181">
        <v>61349</v>
      </c>
      <c r="K181">
        <v>0</v>
      </c>
      <c r="L181">
        <v>19</v>
      </c>
      <c r="M181" t="s">
        <v>39</v>
      </c>
      <c r="N181" t="e" vm="1">
        <v>#VALUE!</v>
      </c>
      <c r="O181">
        <v>2451</v>
      </c>
      <c r="P181" t="s">
        <v>688</v>
      </c>
      <c r="Q181" t="s">
        <v>68</v>
      </c>
      <c r="R181">
        <f t="shared" ca="1" si="6"/>
        <v>47</v>
      </c>
      <c r="S181" t="s">
        <v>56</v>
      </c>
      <c r="T181" t="s">
        <v>43</v>
      </c>
      <c r="U181" t="s">
        <v>44</v>
      </c>
      <c r="V181" t="s">
        <v>45</v>
      </c>
      <c r="W181" t="s">
        <v>219</v>
      </c>
      <c r="X181">
        <f t="shared" ca="1" si="8"/>
        <v>5</v>
      </c>
      <c r="Z181" t="str">
        <f t="shared" ca="1" si="7"/>
        <v/>
      </c>
      <c r="AA181" t="s">
        <v>47</v>
      </c>
      <c r="AB181" t="s">
        <v>48</v>
      </c>
      <c r="AC181" t="s">
        <v>108</v>
      </c>
      <c r="AD181">
        <v>12</v>
      </c>
      <c r="AE181" t="s">
        <v>50</v>
      </c>
      <c r="AF181" t="s">
        <v>63</v>
      </c>
      <c r="AG181">
        <v>4.0999999999999996</v>
      </c>
      <c r="AH181">
        <v>3</v>
      </c>
      <c r="AI181">
        <v>0</v>
      </c>
      <c r="AJ181" t="s">
        <v>318</v>
      </c>
      <c r="AK181">
        <v>0</v>
      </c>
      <c r="AL181">
        <v>11</v>
      </c>
    </row>
    <row r="182" spans="1:38" x14ac:dyDescent="0.25">
      <c r="A182" t="s">
        <v>689</v>
      </c>
      <c r="B182">
        <v>10110</v>
      </c>
      <c r="C182">
        <v>0</v>
      </c>
      <c r="D182">
        <v>0</v>
      </c>
      <c r="E182">
        <v>0</v>
      </c>
      <c r="F182">
        <v>1</v>
      </c>
      <c r="G182">
        <v>4</v>
      </c>
      <c r="H182">
        <v>3</v>
      </c>
      <c r="I182">
        <v>0</v>
      </c>
      <c r="J182">
        <v>105688</v>
      </c>
      <c r="K182">
        <v>0</v>
      </c>
      <c r="L182">
        <v>24</v>
      </c>
      <c r="M182" t="s">
        <v>91</v>
      </c>
      <c r="N182" t="e" vm="1">
        <v>#VALUE!</v>
      </c>
      <c r="O182">
        <v>2135</v>
      </c>
      <c r="P182" t="s">
        <v>690</v>
      </c>
      <c r="Q182" t="s">
        <v>68</v>
      </c>
      <c r="R182">
        <f t="shared" ca="1" si="6"/>
        <v>29</v>
      </c>
      <c r="S182" t="s">
        <v>42</v>
      </c>
      <c r="T182" t="s">
        <v>43</v>
      </c>
      <c r="U182" t="s">
        <v>44</v>
      </c>
      <c r="V182" t="s">
        <v>165</v>
      </c>
      <c r="W182" t="s">
        <v>219</v>
      </c>
      <c r="X182">
        <f t="shared" ca="1" si="8"/>
        <v>5</v>
      </c>
      <c r="Z182" t="str">
        <f t="shared" ca="1" si="7"/>
        <v/>
      </c>
      <c r="AA182" t="s">
        <v>47</v>
      </c>
      <c r="AB182" t="s">
        <v>94</v>
      </c>
      <c r="AC182" t="s">
        <v>95</v>
      </c>
      <c r="AD182">
        <v>10</v>
      </c>
      <c r="AE182" t="s">
        <v>83</v>
      </c>
      <c r="AF182" t="s">
        <v>63</v>
      </c>
      <c r="AG182">
        <v>4.5</v>
      </c>
      <c r="AH182">
        <v>5</v>
      </c>
      <c r="AI182">
        <v>4</v>
      </c>
      <c r="AJ182" t="s">
        <v>152</v>
      </c>
      <c r="AK182">
        <v>0</v>
      </c>
      <c r="AL182">
        <v>14</v>
      </c>
    </row>
    <row r="183" spans="1:38" x14ac:dyDescent="0.25">
      <c r="A183" t="s">
        <v>691</v>
      </c>
      <c r="B183">
        <v>10053</v>
      </c>
      <c r="C183">
        <v>1</v>
      </c>
      <c r="D183">
        <v>1</v>
      </c>
      <c r="E183">
        <v>0</v>
      </c>
      <c r="F183">
        <v>1</v>
      </c>
      <c r="G183">
        <v>5</v>
      </c>
      <c r="H183">
        <v>3</v>
      </c>
      <c r="I183">
        <v>0</v>
      </c>
      <c r="J183">
        <v>54132</v>
      </c>
      <c r="K183">
        <v>0</v>
      </c>
      <c r="L183">
        <v>19</v>
      </c>
      <c r="M183" t="s">
        <v>39</v>
      </c>
      <c r="N183" t="e" vm="1">
        <v>#VALUE!</v>
      </c>
      <c r="O183">
        <v>2330</v>
      </c>
      <c r="P183" t="s">
        <v>692</v>
      </c>
      <c r="Q183" t="s">
        <v>68</v>
      </c>
      <c r="R183">
        <f t="shared" ca="1" si="6"/>
        <v>44</v>
      </c>
      <c r="S183" t="s">
        <v>56</v>
      </c>
      <c r="T183" t="s">
        <v>43</v>
      </c>
      <c r="U183" t="s">
        <v>44</v>
      </c>
      <c r="V183" t="s">
        <v>45</v>
      </c>
      <c r="W183" t="s">
        <v>693</v>
      </c>
      <c r="X183">
        <f t="shared" ca="1" si="8"/>
        <v>7</v>
      </c>
      <c r="Z183" t="str">
        <f t="shared" ca="1" si="7"/>
        <v/>
      </c>
      <c r="AA183" t="s">
        <v>47</v>
      </c>
      <c r="AB183" t="s">
        <v>48</v>
      </c>
      <c r="AC183" t="s">
        <v>122</v>
      </c>
      <c r="AD183">
        <v>14</v>
      </c>
      <c r="AE183" t="s">
        <v>62</v>
      </c>
      <c r="AF183" t="s">
        <v>63</v>
      </c>
      <c r="AG183">
        <v>5</v>
      </c>
      <c r="AH183">
        <v>4</v>
      </c>
      <c r="AI183">
        <v>0</v>
      </c>
      <c r="AJ183" t="s">
        <v>173</v>
      </c>
      <c r="AK183">
        <v>0</v>
      </c>
      <c r="AL183">
        <v>8</v>
      </c>
    </row>
    <row r="184" spans="1:38" x14ac:dyDescent="0.25">
      <c r="A184" t="s">
        <v>694</v>
      </c>
      <c r="B184">
        <v>10076</v>
      </c>
      <c r="C184">
        <v>0</v>
      </c>
      <c r="D184">
        <v>0</v>
      </c>
      <c r="E184">
        <v>0</v>
      </c>
      <c r="F184">
        <v>1</v>
      </c>
      <c r="G184">
        <v>5</v>
      </c>
      <c r="H184">
        <v>3</v>
      </c>
      <c r="I184">
        <v>0</v>
      </c>
      <c r="J184">
        <v>55315</v>
      </c>
      <c r="K184">
        <v>0</v>
      </c>
      <c r="L184">
        <v>20</v>
      </c>
      <c r="M184" t="s">
        <v>66</v>
      </c>
      <c r="N184" t="e" vm="1">
        <v>#VALUE!</v>
      </c>
      <c r="O184">
        <v>2149</v>
      </c>
      <c r="P184" t="s">
        <v>695</v>
      </c>
      <c r="Q184" t="s">
        <v>68</v>
      </c>
      <c r="R184">
        <f t="shared" ca="1" si="6"/>
        <v>34</v>
      </c>
      <c r="S184" t="s">
        <v>42</v>
      </c>
      <c r="T184" t="s">
        <v>43</v>
      </c>
      <c r="U184" t="s">
        <v>44</v>
      </c>
      <c r="V184" t="s">
        <v>106</v>
      </c>
      <c r="W184" t="s">
        <v>57</v>
      </c>
      <c r="X184">
        <f t="shared" ca="1" si="8"/>
        <v>3</v>
      </c>
      <c r="Z184" t="str">
        <f t="shared" ca="1" si="7"/>
        <v/>
      </c>
      <c r="AA184" t="s">
        <v>47</v>
      </c>
      <c r="AB184" t="s">
        <v>48</v>
      </c>
      <c r="AC184" t="s">
        <v>101</v>
      </c>
      <c r="AD184">
        <v>19</v>
      </c>
      <c r="AE184" t="s">
        <v>50</v>
      </c>
      <c r="AF184" t="s">
        <v>63</v>
      </c>
      <c r="AG184">
        <v>5</v>
      </c>
      <c r="AH184">
        <v>5</v>
      </c>
      <c r="AI184">
        <v>0</v>
      </c>
      <c r="AJ184" t="s">
        <v>477</v>
      </c>
      <c r="AK184">
        <v>0</v>
      </c>
      <c r="AL184">
        <v>16</v>
      </c>
    </row>
    <row r="185" spans="1:38" x14ac:dyDescent="0.25">
      <c r="A185" t="s">
        <v>696</v>
      </c>
      <c r="B185">
        <v>10145</v>
      </c>
      <c r="C185">
        <v>1</v>
      </c>
      <c r="D185">
        <v>1</v>
      </c>
      <c r="E185">
        <v>0</v>
      </c>
      <c r="F185">
        <v>1</v>
      </c>
      <c r="G185">
        <v>5</v>
      </c>
      <c r="H185">
        <v>3</v>
      </c>
      <c r="I185">
        <v>0</v>
      </c>
      <c r="J185">
        <v>62810</v>
      </c>
      <c r="K185">
        <v>0</v>
      </c>
      <c r="L185">
        <v>19</v>
      </c>
      <c r="M185" t="s">
        <v>39</v>
      </c>
      <c r="N185" t="e" vm="1">
        <v>#VALUE!</v>
      </c>
      <c r="O185">
        <v>2184</v>
      </c>
      <c r="P185" t="s">
        <v>697</v>
      </c>
      <c r="Q185" t="s">
        <v>68</v>
      </c>
      <c r="R185">
        <f t="shared" ca="1" si="6"/>
        <v>32</v>
      </c>
      <c r="S185" t="s">
        <v>56</v>
      </c>
      <c r="T185" t="s">
        <v>43</v>
      </c>
      <c r="U185" t="s">
        <v>44</v>
      </c>
      <c r="V185" t="s">
        <v>106</v>
      </c>
      <c r="W185" t="s">
        <v>372</v>
      </c>
      <c r="X185">
        <f t="shared" ca="1" si="8"/>
        <v>6</v>
      </c>
      <c r="Z185" t="str">
        <f t="shared" ca="1" si="7"/>
        <v/>
      </c>
      <c r="AA185" t="s">
        <v>47</v>
      </c>
      <c r="AB185" t="s">
        <v>48</v>
      </c>
      <c r="AC185" t="s">
        <v>70</v>
      </c>
      <c r="AD185">
        <v>20</v>
      </c>
      <c r="AE185" t="s">
        <v>179</v>
      </c>
      <c r="AF185" t="s">
        <v>63</v>
      </c>
      <c r="AG185">
        <v>3.93</v>
      </c>
      <c r="AH185">
        <v>3</v>
      </c>
      <c r="AI185">
        <v>0</v>
      </c>
      <c r="AJ185" t="s">
        <v>245</v>
      </c>
      <c r="AK185">
        <v>0</v>
      </c>
      <c r="AL185">
        <v>20</v>
      </c>
    </row>
    <row r="186" spans="1:38" x14ac:dyDescent="0.25">
      <c r="A186" t="s">
        <v>698</v>
      </c>
      <c r="B186">
        <v>10202</v>
      </c>
      <c r="C186">
        <v>1</v>
      </c>
      <c r="D186">
        <v>1</v>
      </c>
      <c r="E186">
        <v>1</v>
      </c>
      <c r="F186">
        <v>2</v>
      </c>
      <c r="G186">
        <v>6</v>
      </c>
      <c r="H186">
        <v>3</v>
      </c>
      <c r="I186">
        <v>0</v>
      </c>
      <c r="J186">
        <v>63291</v>
      </c>
      <c r="K186">
        <v>0</v>
      </c>
      <c r="L186">
        <v>3</v>
      </c>
      <c r="M186" t="s">
        <v>222</v>
      </c>
      <c r="N186" t="e" vm="2">
        <v>#VALUE!</v>
      </c>
      <c r="O186">
        <v>78789</v>
      </c>
      <c r="P186" t="s">
        <v>699</v>
      </c>
      <c r="Q186" t="s">
        <v>41</v>
      </c>
      <c r="R186">
        <f t="shared" ca="1" si="6"/>
        <v>36</v>
      </c>
      <c r="S186" t="s">
        <v>56</v>
      </c>
      <c r="T186" t="s">
        <v>43</v>
      </c>
      <c r="U186" t="s">
        <v>44</v>
      </c>
      <c r="V186" t="s">
        <v>134</v>
      </c>
      <c r="W186" t="s">
        <v>298</v>
      </c>
      <c r="X186">
        <f t="shared" ca="1" si="8"/>
        <v>2</v>
      </c>
      <c r="Z186" t="str">
        <f t="shared" ca="1" si="7"/>
        <v/>
      </c>
      <c r="AA186" t="s">
        <v>47</v>
      </c>
      <c r="AB186" t="s">
        <v>226</v>
      </c>
      <c r="AC186" t="s">
        <v>271</v>
      </c>
      <c r="AD186">
        <v>21</v>
      </c>
      <c r="AE186" t="s">
        <v>368</v>
      </c>
      <c r="AF186" t="s">
        <v>63</v>
      </c>
      <c r="AG186">
        <v>3.4</v>
      </c>
      <c r="AH186">
        <v>4</v>
      </c>
      <c r="AI186">
        <v>0</v>
      </c>
      <c r="AJ186" t="s">
        <v>369</v>
      </c>
      <c r="AK186">
        <v>0</v>
      </c>
      <c r="AL186">
        <v>7</v>
      </c>
    </row>
    <row r="187" spans="1:38" x14ac:dyDescent="0.25">
      <c r="A187" t="s">
        <v>700</v>
      </c>
      <c r="B187">
        <v>10128</v>
      </c>
      <c r="C187">
        <v>0</v>
      </c>
      <c r="D187">
        <v>0</v>
      </c>
      <c r="E187">
        <v>0</v>
      </c>
      <c r="F187">
        <v>5</v>
      </c>
      <c r="G187">
        <v>5</v>
      </c>
      <c r="H187">
        <v>3</v>
      </c>
      <c r="I187">
        <v>1</v>
      </c>
      <c r="J187">
        <v>62659</v>
      </c>
      <c r="K187">
        <v>1</v>
      </c>
      <c r="L187">
        <v>19</v>
      </c>
      <c r="M187" t="s">
        <v>39</v>
      </c>
      <c r="N187" t="e" vm="1">
        <v>#VALUE!</v>
      </c>
      <c r="O187">
        <v>1760</v>
      </c>
      <c r="P187" t="s">
        <v>701</v>
      </c>
      <c r="Q187" t="s">
        <v>68</v>
      </c>
      <c r="R187">
        <f t="shared" ca="1" si="6"/>
        <v>50</v>
      </c>
      <c r="S187" t="s">
        <v>42</v>
      </c>
      <c r="T187" t="s">
        <v>43</v>
      </c>
      <c r="U187" t="s">
        <v>44</v>
      </c>
      <c r="V187" t="s">
        <v>106</v>
      </c>
      <c r="W187" t="s">
        <v>126</v>
      </c>
      <c r="X187">
        <f t="shared" ca="1" si="8"/>
        <v>6</v>
      </c>
      <c r="Y187" t="s">
        <v>702</v>
      </c>
      <c r="Z187" t="str">
        <f t="shared" ca="1" si="7"/>
        <v/>
      </c>
      <c r="AA187" t="s">
        <v>59</v>
      </c>
      <c r="AB187" t="s">
        <v>48</v>
      </c>
      <c r="AC187" t="s">
        <v>136</v>
      </c>
      <c r="AD187">
        <v>18</v>
      </c>
      <c r="AE187" t="s">
        <v>109</v>
      </c>
      <c r="AF187" t="s">
        <v>63</v>
      </c>
      <c r="AG187">
        <v>4.18</v>
      </c>
      <c r="AH187">
        <v>4</v>
      </c>
      <c r="AI187">
        <v>0</v>
      </c>
      <c r="AJ187" t="s">
        <v>703</v>
      </c>
      <c r="AK187">
        <v>0</v>
      </c>
      <c r="AL187">
        <v>17</v>
      </c>
    </row>
    <row r="188" spans="1:38" x14ac:dyDescent="0.25">
      <c r="A188" t="s">
        <v>704</v>
      </c>
      <c r="B188">
        <v>10068</v>
      </c>
      <c r="C188">
        <v>0</v>
      </c>
      <c r="D188">
        <v>0</v>
      </c>
      <c r="E188">
        <v>0</v>
      </c>
      <c r="F188">
        <v>1</v>
      </c>
      <c r="G188">
        <v>5</v>
      </c>
      <c r="H188">
        <v>3</v>
      </c>
      <c r="I188">
        <v>0</v>
      </c>
      <c r="J188">
        <v>55688</v>
      </c>
      <c r="K188">
        <v>0</v>
      </c>
      <c r="L188">
        <v>19</v>
      </c>
      <c r="M188" t="s">
        <v>39</v>
      </c>
      <c r="N188" t="e" vm="1">
        <v>#VALUE!</v>
      </c>
      <c r="O188">
        <v>2346</v>
      </c>
      <c r="P188" t="s">
        <v>415</v>
      </c>
      <c r="Q188" t="s">
        <v>68</v>
      </c>
      <c r="R188">
        <f t="shared" ca="1" si="6"/>
        <v>40</v>
      </c>
      <c r="S188" t="s">
        <v>42</v>
      </c>
      <c r="T188" t="s">
        <v>43</v>
      </c>
      <c r="U188" t="s">
        <v>44</v>
      </c>
      <c r="V188" t="s">
        <v>45</v>
      </c>
      <c r="W188" t="s">
        <v>57</v>
      </c>
      <c r="X188">
        <f t="shared" ca="1" si="8"/>
        <v>3</v>
      </c>
      <c r="Z188" t="str">
        <f t="shared" ca="1" si="7"/>
        <v/>
      </c>
      <c r="AA188" t="s">
        <v>47</v>
      </c>
      <c r="AB188" t="s">
        <v>48</v>
      </c>
      <c r="AC188" t="s">
        <v>49</v>
      </c>
      <c r="AD188">
        <v>22</v>
      </c>
      <c r="AE188" t="s">
        <v>179</v>
      </c>
      <c r="AF188" t="s">
        <v>63</v>
      </c>
      <c r="AG188">
        <v>5</v>
      </c>
      <c r="AH188">
        <v>4</v>
      </c>
      <c r="AI188">
        <v>0</v>
      </c>
      <c r="AJ188" t="s">
        <v>220</v>
      </c>
      <c r="AK188">
        <v>0</v>
      </c>
      <c r="AL188">
        <v>10</v>
      </c>
    </row>
    <row r="189" spans="1:38" x14ac:dyDescent="0.25">
      <c r="A189" t="s">
        <v>705</v>
      </c>
      <c r="B189">
        <v>10116</v>
      </c>
      <c r="C189">
        <v>0</v>
      </c>
      <c r="D189">
        <v>0</v>
      </c>
      <c r="E189">
        <v>1</v>
      </c>
      <c r="F189">
        <v>1</v>
      </c>
      <c r="G189">
        <v>5</v>
      </c>
      <c r="H189">
        <v>3</v>
      </c>
      <c r="I189">
        <v>0</v>
      </c>
      <c r="J189">
        <v>83667</v>
      </c>
      <c r="K189">
        <v>0</v>
      </c>
      <c r="L189">
        <v>18</v>
      </c>
      <c r="M189" t="s">
        <v>198</v>
      </c>
      <c r="N189" t="e" vm="1">
        <v>#VALUE!</v>
      </c>
      <c r="O189">
        <v>2045</v>
      </c>
      <c r="P189" t="s">
        <v>706</v>
      </c>
      <c r="Q189" t="s">
        <v>41</v>
      </c>
      <c r="R189">
        <f t="shared" ca="1" si="6"/>
        <v>37</v>
      </c>
      <c r="S189" t="s">
        <v>42</v>
      </c>
      <c r="T189" t="s">
        <v>43</v>
      </c>
      <c r="U189" t="s">
        <v>707</v>
      </c>
      <c r="V189" t="s">
        <v>708</v>
      </c>
      <c r="W189" t="s">
        <v>709</v>
      </c>
      <c r="X189">
        <f t="shared" ca="1" si="8"/>
        <v>6</v>
      </c>
      <c r="Z189" t="str">
        <f t="shared" ca="1" si="7"/>
        <v/>
      </c>
      <c r="AA189" t="s">
        <v>47</v>
      </c>
      <c r="AB189" t="s">
        <v>48</v>
      </c>
      <c r="AC189" t="s">
        <v>201</v>
      </c>
      <c r="AD189">
        <v>2</v>
      </c>
      <c r="AE189" t="s">
        <v>62</v>
      </c>
      <c r="AF189" t="s">
        <v>63</v>
      </c>
      <c r="AG189">
        <v>4.37</v>
      </c>
      <c r="AH189">
        <v>3</v>
      </c>
      <c r="AI189">
        <v>0</v>
      </c>
      <c r="AJ189" t="s">
        <v>152</v>
      </c>
      <c r="AK189">
        <v>0</v>
      </c>
      <c r="AL189">
        <v>2</v>
      </c>
    </row>
    <row r="190" spans="1:38" x14ac:dyDescent="0.25">
      <c r="A190" t="s">
        <v>710</v>
      </c>
      <c r="B190">
        <v>10298</v>
      </c>
      <c r="C190">
        <v>0</v>
      </c>
      <c r="D190">
        <v>0</v>
      </c>
      <c r="E190">
        <v>1</v>
      </c>
      <c r="F190">
        <v>5</v>
      </c>
      <c r="G190">
        <v>5</v>
      </c>
      <c r="H190">
        <v>1</v>
      </c>
      <c r="I190">
        <v>0</v>
      </c>
      <c r="J190">
        <v>55800</v>
      </c>
      <c r="K190">
        <v>1</v>
      </c>
      <c r="L190">
        <v>20</v>
      </c>
      <c r="M190" t="s">
        <v>66</v>
      </c>
      <c r="N190" t="e" vm="1">
        <v>#VALUE!</v>
      </c>
      <c r="O190">
        <v>2472</v>
      </c>
      <c r="P190" t="s">
        <v>711</v>
      </c>
      <c r="Q190" t="s">
        <v>41</v>
      </c>
      <c r="R190">
        <f t="shared" ca="1" si="6"/>
        <v>39</v>
      </c>
      <c r="S190" t="s">
        <v>42</v>
      </c>
      <c r="T190" t="s">
        <v>43</v>
      </c>
      <c r="U190" t="s">
        <v>44</v>
      </c>
      <c r="V190" t="s">
        <v>45</v>
      </c>
      <c r="W190" t="s">
        <v>224</v>
      </c>
      <c r="X190">
        <f t="shared" ca="1" si="8"/>
        <v>7</v>
      </c>
      <c r="Y190" t="s">
        <v>712</v>
      </c>
      <c r="Z190">
        <f t="shared" ca="1" si="7"/>
        <v>362</v>
      </c>
      <c r="AA190" t="s">
        <v>59</v>
      </c>
      <c r="AB190" t="s">
        <v>48</v>
      </c>
      <c r="AC190" t="s">
        <v>108</v>
      </c>
      <c r="AD190">
        <v>12</v>
      </c>
      <c r="AE190" t="s">
        <v>50</v>
      </c>
      <c r="AF190" t="s">
        <v>351</v>
      </c>
      <c r="AG190">
        <v>3</v>
      </c>
      <c r="AH190">
        <v>2</v>
      </c>
      <c r="AI190">
        <v>0</v>
      </c>
      <c r="AJ190" t="s">
        <v>713</v>
      </c>
      <c r="AK190">
        <v>6</v>
      </c>
      <c r="AL190">
        <v>6</v>
      </c>
    </row>
    <row r="191" spans="1:38" x14ac:dyDescent="0.25">
      <c r="A191" t="s">
        <v>714</v>
      </c>
      <c r="B191">
        <v>10213</v>
      </c>
      <c r="C191">
        <v>1</v>
      </c>
      <c r="D191">
        <v>1</v>
      </c>
      <c r="E191">
        <v>1</v>
      </c>
      <c r="F191">
        <v>1</v>
      </c>
      <c r="G191">
        <v>5</v>
      </c>
      <c r="H191">
        <v>3</v>
      </c>
      <c r="I191">
        <v>0</v>
      </c>
      <c r="J191">
        <v>58207</v>
      </c>
      <c r="K191">
        <v>0</v>
      </c>
      <c r="L191">
        <v>20</v>
      </c>
      <c r="M191" t="s">
        <v>66</v>
      </c>
      <c r="N191" t="e" vm="1">
        <v>#VALUE!</v>
      </c>
      <c r="O191">
        <v>1450</v>
      </c>
      <c r="P191" t="s">
        <v>715</v>
      </c>
      <c r="Q191" t="s">
        <v>41</v>
      </c>
      <c r="R191">
        <f t="shared" ca="1" si="6"/>
        <v>29</v>
      </c>
      <c r="S191" t="s">
        <v>56</v>
      </c>
      <c r="T191" t="s">
        <v>43</v>
      </c>
      <c r="U191" t="s">
        <v>44</v>
      </c>
      <c r="V191" t="s">
        <v>45</v>
      </c>
      <c r="W191" t="s">
        <v>338</v>
      </c>
      <c r="X191">
        <f t="shared" ca="1" si="8"/>
        <v>7</v>
      </c>
      <c r="Z191" t="str">
        <f t="shared" ca="1" si="7"/>
        <v/>
      </c>
      <c r="AA191" t="s">
        <v>47</v>
      </c>
      <c r="AB191" t="s">
        <v>48</v>
      </c>
      <c r="AC191" t="s">
        <v>122</v>
      </c>
      <c r="AD191">
        <v>14</v>
      </c>
      <c r="AE191" t="s">
        <v>50</v>
      </c>
      <c r="AF191" t="s">
        <v>63</v>
      </c>
      <c r="AG191">
        <v>3.7</v>
      </c>
      <c r="AH191">
        <v>3</v>
      </c>
      <c r="AI191">
        <v>0</v>
      </c>
      <c r="AJ191" t="s">
        <v>525</v>
      </c>
      <c r="AK191">
        <v>0</v>
      </c>
      <c r="AL191">
        <v>14</v>
      </c>
    </row>
    <row r="192" spans="1:38" x14ac:dyDescent="0.25">
      <c r="A192" t="s">
        <v>716</v>
      </c>
      <c r="B192">
        <v>10288</v>
      </c>
      <c r="C192">
        <v>1</v>
      </c>
      <c r="D192">
        <v>1</v>
      </c>
      <c r="E192">
        <v>1</v>
      </c>
      <c r="F192">
        <v>1</v>
      </c>
      <c r="G192">
        <v>3</v>
      </c>
      <c r="H192">
        <v>2</v>
      </c>
      <c r="I192">
        <v>1</v>
      </c>
      <c r="J192">
        <v>157000</v>
      </c>
      <c r="K192">
        <v>0</v>
      </c>
      <c r="L192">
        <v>13</v>
      </c>
      <c r="M192" t="s">
        <v>717</v>
      </c>
      <c r="N192" t="e" vm="1">
        <v>#VALUE!</v>
      </c>
      <c r="O192">
        <v>2134</v>
      </c>
      <c r="P192" t="s">
        <v>718</v>
      </c>
      <c r="Q192" t="s">
        <v>41</v>
      </c>
      <c r="R192">
        <f t="shared" ca="1" si="6"/>
        <v>35</v>
      </c>
      <c r="S192" t="s">
        <v>56</v>
      </c>
      <c r="T192" t="s">
        <v>155</v>
      </c>
      <c r="U192" t="s">
        <v>119</v>
      </c>
      <c r="V192" t="s">
        <v>106</v>
      </c>
      <c r="W192" t="s">
        <v>719</v>
      </c>
      <c r="X192">
        <f t="shared" ca="1" si="8"/>
        <v>7</v>
      </c>
      <c r="Z192" t="str">
        <f t="shared" ca="1" si="7"/>
        <v/>
      </c>
      <c r="AA192" t="s">
        <v>47</v>
      </c>
      <c r="AB192" t="s">
        <v>60</v>
      </c>
      <c r="AC192" t="s">
        <v>238</v>
      </c>
      <c r="AD192">
        <v>5</v>
      </c>
      <c r="AE192" t="s">
        <v>109</v>
      </c>
      <c r="AF192" t="s">
        <v>180</v>
      </c>
      <c r="AG192">
        <v>2.39</v>
      </c>
      <c r="AH192">
        <v>3</v>
      </c>
      <c r="AI192">
        <v>6</v>
      </c>
      <c r="AJ192" t="s">
        <v>242</v>
      </c>
      <c r="AK192">
        <v>4</v>
      </c>
      <c r="AL192">
        <v>13</v>
      </c>
    </row>
    <row r="193" spans="1:38" x14ac:dyDescent="0.25">
      <c r="A193" t="s">
        <v>720</v>
      </c>
      <c r="B193">
        <v>10025</v>
      </c>
      <c r="C193">
        <v>0</v>
      </c>
      <c r="D193">
        <v>0</v>
      </c>
      <c r="E193">
        <v>0</v>
      </c>
      <c r="F193">
        <v>1</v>
      </c>
      <c r="G193">
        <v>5</v>
      </c>
      <c r="H193">
        <v>4</v>
      </c>
      <c r="I193">
        <v>0</v>
      </c>
      <c r="J193">
        <v>72460</v>
      </c>
      <c r="K193">
        <v>0</v>
      </c>
      <c r="L193">
        <v>20</v>
      </c>
      <c r="M193" t="s">
        <v>66</v>
      </c>
      <c r="N193" t="e" vm="1">
        <v>#VALUE!</v>
      </c>
      <c r="O193">
        <v>2126</v>
      </c>
      <c r="P193" t="s">
        <v>721</v>
      </c>
      <c r="Q193" t="s">
        <v>68</v>
      </c>
      <c r="R193">
        <f t="shared" ca="1" si="6"/>
        <v>54</v>
      </c>
      <c r="S193" t="s">
        <v>42</v>
      </c>
      <c r="T193" t="s">
        <v>43</v>
      </c>
      <c r="U193" t="s">
        <v>44</v>
      </c>
      <c r="V193" t="s">
        <v>106</v>
      </c>
      <c r="W193" t="s">
        <v>722</v>
      </c>
      <c r="X193">
        <f t="shared" ca="1" si="8"/>
        <v>5</v>
      </c>
      <c r="Z193" t="str">
        <f t="shared" ca="1" si="7"/>
        <v/>
      </c>
      <c r="AA193" t="s">
        <v>47</v>
      </c>
      <c r="AB193" t="s">
        <v>48</v>
      </c>
      <c r="AC193" t="s">
        <v>70</v>
      </c>
      <c r="AD193">
        <v>20</v>
      </c>
      <c r="AE193" t="s">
        <v>62</v>
      </c>
      <c r="AF193" t="s">
        <v>51</v>
      </c>
      <c r="AG193">
        <v>4.7</v>
      </c>
      <c r="AH193">
        <v>3</v>
      </c>
      <c r="AI193">
        <v>0</v>
      </c>
      <c r="AJ193" t="s">
        <v>152</v>
      </c>
      <c r="AK193">
        <v>0</v>
      </c>
      <c r="AL193">
        <v>1</v>
      </c>
    </row>
    <row r="194" spans="1:38" x14ac:dyDescent="0.25">
      <c r="A194" t="s">
        <v>723</v>
      </c>
      <c r="B194">
        <v>10223</v>
      </c>
      <c r="C194">
        <v>0</v>
      </c>
      <c r="D194">
        <v>0</v>
      </c>
      <c r="E194">
        <v>1</v>
      </c>
      <c r="F194">
        <v>3</v>
      </c>
      <c r="G194">
        <v>5</v>
      </c>
      <c r="H194">
        <v>3</v>
      </c>
      <c r="I194">
        <v>1</v>
      </c>
      <c r="J194">
        <v>72106</v>
      </c>
      <c r="K194">
        <v>0</v>
      </c>
      <c r="L194">
        <v>20</v>
      </c>
      <c r="M194" t="s">
        <v>66</v>
      </c>
      <c r="N194" t="e" vm="1">
        <v>#VALUE!</v>
      </c>
      <c r="O194">
        <v>2127</v>
      </c>
      <c r="P194" t="s">
        <v>724</v>
      </c>
      <c r="Q194" t="s">
        <v>41</v>
      </c>
      <c r="R194">
        <f t="shared" ref="R194:R257" ca="1" si="9">DATEDIF(P194, TODAY(), "Y")</f>
        <v>43</v>
      </c>
      <c r="S194" t="s">
        <v>42</v>
      </c>
      <c r="T194" t="s">
        <v>43</v>
      </c>
      <c r="U194" t="s">
        <v>44</v>
      </c>
      <c r="V194" t="s">
        <v>106</v>
      </c>
      <c r="W194" t="s">
        <v>87</v>
      </c>
      <c r="X194">
        <f t="shared" ca="1" si="8"/>
        <v>7</v>
      </c>
      <c r="Z194" t="str">
        <f t="shared" ref="Z194:Z257" ca="1" si="10">IF(Y194="", "", IFERROR( DATEDIF(TODAY(), Y194, "D"), ""))</f>
        <v/>
      </c>
      <c r="AA194" t="s">
        <v>47</v>
      </c>
      <c r="AB194" t="s">
        <v>48</v>
      </c>
      <c r="AC194" t="s">
        <v>136</v>
      </c>
      <c r="AD194">
        <v>18</v>
      </c>
      <c r="AE194" t="s">
        <v>109</v>
      </c>
      <c r="AF194" t="s">
        <v>63</v>
      </c>
      <c r="AG194">
        <v>4.0999999999999996</v>
      </c>
      <c r="AH194">
        <v>4</v>
      </c>
      <c r="AI194">
        <v>0</v>
      </c>
      <c r="AJ194" t="s">
        <v>342</v>
      </c>
      <c r="AK194">
        <v>0</v>
      </c>
      <c r="AL194">
        <v>12</v>
      </c>
    </row>
    <row r="195" spans="1:38" x14ac:dyDescent="0.25">
      <c r="A195" t="s">
        <v>725</v>
      </c>
      <c r="B195">
        <v>10151</v>
      </c>
      <c r="C195">
        <v>1</v>
      </c>
      <c r="D195">
        <v>1</v>
      </c>
      <c r="E195">
        <v>0</v>
      </c>
      <c r="F195">
        <v>1</v>
      </c>
      <c r="G195">
        <v>3</v>
      </c>
      <c r="H195">
        <v>3</v>
      </c>
      <c r="I195">
        <v>0</v>
      </c>
      <c r="J195">
        <v>52599</v>
      </c>
      <c r="K195">
        <v>0</v>
      </c>
      <c r="L195">
        <v>15</v>
      </c>
      <c r="M195" t="s">
        <v>426</v>
      </c>
      <c r="N195" t="e" vm="1">
        <v>#VALUE!</v>
      </c>
      <c r="O195">
        <v>2048</v>
      </c>
      <c r="P195" t="s">
        <v>726</v>
      </c>
      <c r="Q195" t="s">
        <v>68</v>
      </c>
      <c r="R195">
        <f t="shared" ca="1" si="9"/>
        <v>46</v>
      </c>
      <c r="S195" t="s">
        <v>56</v>
      </c>
      <c r="T195" t="s">
        <v>43</v>
      </c>
      <c r="U195" t="s">
        <v>44</v>
      </c>
      <c r="V195" t="s">
        <v>45</v>
      </c>
      <c r="W195" t="s">
        <v>194</v>
      </c>
      <c r="X195">
        <f t="shared" ref="X195:X258" ca="1" si="11">DATEDIF(W195, TODAY(), "Y")</f>
        <v>4</v>
      </c>
      <c r="Z195" t="str">
        <f t="shared" ca="1" si="10"/>
        <v/>
      </c>
      <c r="AA195" t="s">
        <v>47</v>
      </c>
      <c r="AB195" t="s">
        <v>60</v>
      </c>
      <c r="AC195" t="s">
        <v>115</v>
      </c>
      <c r="AD195">
        <v>7</v>
      </c>
      <c r="AE195" t="s">
        <v>179</v>
      </c>
      <c r="AF195" t="s">
        <v>63</v>
      </c>
      <c r="AG195">
        <v>3.81</v>
      </c>
      <c r="AH195">
        <v>3</v>
      </c>
      <c r="AI195">
        <v>6</v>
      </c>
      <c r="AJ195" t="s">
        <v>535</v>
      </c>
      <c r="AK195">
        <v>0</v>
      </c>
      <c r="AL195">
        <v>6</v>
      </c>
    </row>
    <row r="196" spans="1:38" x14ac:dyDescent="0.25">
      <c r="A196" t="s">
        <v>727</v>
      </c>
      <c r="B196">
        <v>10254</v>
      </c>
      <c r="C196">
        <v>0</v>
      </c>
      <c r="D196">
        <v>2</v>
      </c>
      <c r="E196">
        <v>0</v>
      </c>
      <c r="F196">
        <v>1</v>
      </c>
      <c r="G196">
        <v>5</v>
      </c>
      <c r="H196">
        <v>3</v>
      </c>
      <c r="I196">
        <v>0</v>
      </c>
      <c r="J196">
        <v>63430</v>
      </c>
      <c r="K196">
        <v>0</v>
      </c>
      <c r="L196">
        <v>19</v>
      </c>
      <c r="M196" t="s">
        <v>39</v>
      </c>
      <c r="N196" t="e" vm="1">
        <v>#VALUE!</v>
      </c>
      <c r="O196">
        <v>2453</v>
      </c>
      <c r="P196" t="s">
        <v>728</v>
      </c>
      <c r="Q196" t="s">
        <v>68</v>
      </c>
      <c r="R196">
        <f t="shared" ca="1" si="9"/>
        <v>32</v>
      </c>
      <c r="S196" t="s">
        <v>79</v>
      </c>
      <c r="T196" t="s">
        <v>43</v>
      </c>
      <c r="U196" t="s">
        <v>44</v>
      </c>
      <c r="V196" t="s">
        <v>45</v>
      </c>
      <c r="W196" t="s">
        <v>729</v>
      </c>
      <c r="X196">
        <f t="shared" ca="1" si="11"/>
        <v>5</v>
      </c>
      <c r="Z196" t="str">
        <f t="shared" ca="1" si="10"/>
        <v/>
      </c>
      <c r="AA196" t="s">
        <v>47</v>
      </c>
      <c r="AB196" t="s">
        <v>48</v>
      </c>
      <c r="AC196" t="s">
        <v>75</v>
      </c>
      <c r="AD196">
        <v>16</v>
      </c>
      <c r="AE196" t="s">
        <v>50</v>
      </c>
      <c r="AF196" t="s">
        <v>63</v>
      </c>
      <c r="AG196">
        <v>4.4000000000000004</v>
      </c>
      <c r="AH196">
        <v>4</v>
      </c>
      <c r="AI196">
        <v>0</v>
      </c>
      <c r="AJ196" t="s">
        <v>52</v>
      </c>
      <c r="AK196">
        <v>0</v>
      </c>
      <c r="AL196">
        <v>18</v>
      </c>
    </row>
    <row r="197" spans="1:38" x14ac:dyDescent="0.25">
      <c r="A197" t="s">
        <v>730</v>
      </c>
      <c r="B197">
        <v>10120</v>
      </c>
      <c r="C197">
        <v>0</v>
      </c>
      <c r="D197">
        <v>3</v>
      </c>
      <c r="E197">
        <v>1</v>
      </c>
      <c r="F197">
        <v>1</v>
      </c>
      <c r="G197">
        <v>5</v>
      </c>
      <c r="H197">
        <v>3</v>
      </c>
      <c r="I197">
        <v>0</v>
      </c>
      <c r="J197">
        <v>74417</v>
      </c>
      <c r="K197">
        <v>0</v>
      </c>
      <c r="L197">
        <v>20</v>
      </c>
      <c r="M197" t="s">
        <v>66</v>
      </c>
      <c r="N197" t="e" vm="1">
        <v>#VALUE!</v>
      </c>
      <c r="O197">
        <v>1460</v>
      </c>
      <c r="P197" t="s">
        <v>731</v>
      </c>
      <c r="Q197" t="s">
        <v>41</v>
      </c>
      <c r="R197">
        <f t="shared" ca="1" si="9"/>
        <v>42</v>
      </c>
      <c r="S197" t="s">
        <v>218</v>
      </c>
      <c r="T197" t="s">
        <v>43</v>
      </c>
      <c r="U197" t="s">
        <v>44</v>
      </c>
      <c r="V197" t="s">
        <v>106</v>
      </c>
      <c r="W197" t="s">
        <v>722</v>
      </c>
      <c r="X197">
        <f t="shared" ca="1" si="11"/>
        <v>5</v>
      </c>
      <c r="Z197" t="str">
        <f t="shared" ca="1" si="10"/>
        <v/>
      </c>
      <c r="AA197" t="s">
        <v>47</v>
      </c>
      <c r="AB197" t="s">
        <v>48</v>
      </c>
      <c r="AC197" t="s">
        <v>49</v>
      </c>
      <c r="AD197">
        <v>22</v>
      </c>
      <c r="AE197" t="s">
        <v>50</v>
      </c>
      <c r="AF197" t="s">
        <v>63</v>
      </c>
      <c r="AG197">
        <v>4.29</v>
      </c>
      <c r="AH197">
        <v>5</v>
      </c>
      <c r="AI197">
        <v>0</v>
      </c>
      <c r="AJ197" t="s">
        <v>321</v>
      </c>
      <c r="AK197">
        <v>0</v>
      </c>
      <c r="AL197">
        <v>11</v>
      </c>
    </row>
    <row r="198" spans="1:38" x14ac:dyDescent="0.25">
      <c r="A198" t="s">
        <v>732</v>
      </c>
      <c r="B198">
        <v>10216</v>
      </c>
      <c r="C198">
        <v>0</v>
      </c>
      <c r="D198">
        <v>0</v>
      </c>
      <c r="E198">
        <v>1</v>
      </c>
      <c r="F198">
        <v>1</v>
      </c>
      <c r="G198">
        <v>5</v>
      </c>
      <c r="H198">
        <v>3</v>
      </c>
      <c r="I198">
        <v>0</v>
      </c>
      <c r="J198">
        <v>57575</v>
      </c>
      <c r="K198">
        <v>0</v>
      </c>
      <c r="L198">
        <v>19</v>
      </c>
      <c r="M198" t="s">
        <v>39</v>
      </c>
      <c r="N198" t="e" vm="1">
        <v>#VALUE!</v>
      </c>
      <c r="O198">
        <v>1550</v>
      </c>
      <c r="P198" t="s">
        <v>733</v>
      </c>
      <c r="Q198" t="s">
        <v>41</v>
      </c>
      <c r="R198">
        <f t="shared" ca="1" si="9"/>
        <v>42</v>
      </c>
      <c r="S198" t="s">
        <v>42</v>
      </c>
      <c r="T198" t="s">
        <v>43</v>
      </c>
      <c r="U198" t="s">
        <v>44</v>
      </c>
      <c r="V198" t="s">
        <v>165</v>
      </c>
      <c r="W198" t="s">
        <v>166</v>
      </c>
      <c r="X198">
        <f t="shared" ca="1" si="11"/>
        <v>5</v>
      </c>
      <c r="Z198" t="str">
        <f t="shared" ca="1" si="10"/>
        <v/>
      </c>
      <c r="AA198" t="s">
        <v>47</v>
      </c>
      <c r="AB198" t="s">
        <v>48</v>
      </c>
      <c r="AC198" t="s">
        <v>70</v>
      </c>
      <c r="AD198">
        <v>20</v>
      </c>
      <c r="AE198" t="s">
        <v>50</v>
      </c>
      <c r="AF198" t="s">
        <v>63</v>
      </c>
      <c r="AG198">
        <v>4.0999999999999996</v>
      </c>
      <c r="AH198">
        <v>4</v>
      </c>
      <c r="AI198">
        <v>0</v>
      </c>
      <c r="AJ198" t="s">
        <v>318</v>
      </c>
      <c r="AK198">
        <v>0</v>
      </c>
      <c r="AL198">
        <v>13</v>
      </c>
    </row>
    <row r="199" spans="1:38" x14ac:dyDescent="0.25">
      <c r="A199" t="s">
        <v>734</v>
      </c>
      <c r="B199">
        <v>10079</v>
      </c>
      <c r="C199">
        <v>0</v>
      </c>
      <c r="D199">
        <v>0</v>
      </c>
      <c r="E199">
        <v>1</v>
      </c>
      <c r="F199">
        <v>1</v>
      </c>
      <c r="G199">
        <v>3</v>
      </c>
      <c r="H199">
        <v>3</v>
      </c>
      <c r="I199">
        <v>0</v>
      </c>
      <c r="J199">
        <v>87921</v>
      </c>
      <c r="K199">
        <v>0</v>
      </c>
      <c r="L199">
        <v>22</v>
      </c>
      <c r="M199" t="s">
        <v>637</v>
      </c>
      <c r="N199" t="e" vm="1">
        <v>#VALUE!</v>
      </c>
      <c r="O199">
        <v>2056</v>
      </c>
      <c r="P199" t="s">
        <v>735</v>
      </c>
      <c r="Q199" t="s">
        <v>41</v>
      </c>
      <c r="R199">
        <f t="shared" ca="1" si="9"/>
        <v>46</v>
      </c>
      <c r="S199" t="s">
        <v>42</v>
      </c>
      <c r="T199" t="s">
        <v>43</v>
      </c>
      <c r="U199" t="s">
        <v>44</v>
      </c>
      <c r="V199" t="s">
        <v>165</v>
      </c>
      <c r="W199" t="s">
        <v>736</v>
      </c>
      <c r="X199">
        <f t="shared" ca="1" si="11"/>
        <v>2</v>
      </c>
      <c r="Z199" t="str">
        <f t="shared" ca="1" si="10"/>
        <v/>
      </c>
      <c r="AA199" t="s">
        <v>47</v>
      </c>
      <c r="AB199" t="s">
        <v>60</v>
      </c>
      <c r="AC199" t="s">
        <v>362</v>
      </c>
      <c r="AD199">
        <v>13</v>
      </c>
      <c r="AE199" t="s">
        <v>62</v>
      </c>
      <c r="AF199" t="s">
        <v>63</v>
      </c>
      <c r="AG199">
        <v>5</v>
      </c>
      <c r="AH199">
        <v>3</v>
      </c>
      <c r="AI199">
        <v>6</v>
      </c>
      <c r="AJ199" t="s">
        <v>103</v>
      </c>
      <c r="AK199">
        <v>0</v>
      </c>
      <c r="AL199">
        <v>17</v>
      </c>
    </row>
    <row r="200" spans="1:38" x14ac:dyDescent="0.25">
      <c r="A200" t="s">
        <v>737</v>
      </c>
      <c r="B200">
        <v>10215</v>
      </c>
      <c r="C200">
        <v>0</v>
      </c>
      <c r="D200">
        <v>0</v>
      </c>
      <c r="E200">
        <v>1</v>
      </c>
      <c r="F200">
        <v>5</v>
      </c>
      <c r="G200">
        <v>5</v>
      </c>
      <c r="H200">
        <v>3</v>
      </c>
      <c r="I200">
        <v>1</v>
      </c>
      <c r="J200">
        <v>50470</v>
      </c>
      <c r="K200">
        <v>1</v>
      </c>
      <c r="L200">
        <v>19</v>
      </c>
      <c r="M200" t="s">
        <v>39</v>
      </c>
      <c r="N200" t="e" vm="1">
        <v>#VALUE!</v>
      </c>
      <c r="O200">
        <v>2110</v>
      </c>
      <c r="P200" t="s">
        <v>738</v>
      </c>
      <c r="Q200" t="s">
        <v>41</v>
      </c>
      <c r="R200">
        <f t="shared" ca="1" si="9"/>
        <v>33</v>
      </c>
      <c r="S200" t="s">
        <v>42</v>
      </c>
      <c r="T200" t="s">
        <v>43</v>
      </c>
      <c r="U200" t="s">
        <v>44</v>
      </c>
      <c r="V200" t="s">
        <v>106</v>
      </c>
      <c r="W200" t="s">
        <v>604</v>
      </c>
      <c r="X200">
        <f t="shared" ca="1" si="11"/>
        <v>7</v>
      </c>
      <c r="Y200" t="s">
        <v>739</v>
      </c>
      <c r="Z200">
        <f t="shared" ca="1" si="10"/>
        <v>135</v>
      </c>
      <c r="AA200" t="s">
        <v>59</v>
      </c>
      <c r="AB200" t="s">
        <v>48</v>
      </c>
      <c r="AC200" t="s">
        <v>82</v>
      </c>
      <c r="AD200">
        <v>39</v>
      </c>
      <c r="AE200" t="s">
        <v>109</v>
      </c>
      <c r="AF200" t="s">
        <v>63</v>
      </c>
      <c r="AG200">
        <v>4.3</v>
      </c>
      <c r="AH200">
        <v>3</v>
      </c>
      <c r="AI200">
        <v>0</v>
      </c>
      <c r="AJ200" t="s">
        <v>740</v>
      </c>
      <c r="AK200">
        <v>0</v>
      </c>
      <c r="AL200">
        <v>19</v>
      </c>
    </row>
    <row r="201" spans="1:38" x14ac:dyDescent="0.25">
      <c r="A201" t="s">
        <v>741</v>
      </c>
      <c r="B201">
        <v>10185</v>
      </c>
      <c r="C201">
        <v>1</v>
      </c>
      <c r="D201">
        <v>1</v>
      </c>
      <c r="E201">
        <v>1</v>
      </c>
      <c r="F201">
        <v>5</v>
      </c>
      <c r="G201">
        <v>5</v>
      </c>
      <c r="H201">
        <v>3</v>
      </c>
      <c r="I201">
        <v>0</v>
      </c>
      <c r="J201">
        <v>46664</v>
      </c>
      <c r="K201">
        <v>1</v>
      </c>
      <c r="L201">
        <v>19</v>
      </c>
      <c r="M201" t="s">
        <v>39</v>
      </c>
      <c r="N201" t="e" vm="1">
        <v>#VALUE!</v>
      </c>
      <c r="O201">
        <v>2421</v>
      </c>
      <c r="P201" t="s">
        <v>742</v>
      </c>
      <c r="Q201" t="s">
        <v>41</v>
      </c>
      <c r="R201">
        <f t="shared" ca="1" si="9"/>
        <v>42</v>
      </c>
      <c r="S201" t="s">
        <v>56</v>
      </c>
      <c r="T201" t="s">
        <v>43</v>
      </c>
      <c r="U201" t="s">
        <v>44</v>
      </c>
      <c r="V201" t="s">
        <v>45</v>
      </c>
      <c r="W201" t="s">
        <v>729</v>
      </c>
      <c r="X201">
        <f t="shared" ca="1" si="11"/>
        <v>5</v>
      </c>
      <c r="Y201" t="s">
        <v>743</v>
      </c>
      <c r="Z201">
        <f t="shared" ca="1" si="10"/>
        <v>298</v>
      </c>
      <c r="AA201" t="s">
        <v>59</v>
      </c>
      <c r="AB201" t="s">
        <v>48</v>
      </c>
      <c r="AC201" t="s">
        <v>88</v>
      </c>
      <c r="AD201">
        <v>11</v>
      </c>
      <c r="AE201" t="s">
        <v>102</v>
      </c>
      <c r="AF201" t="s">
        <v>63</v>
      </c>
      <c r="AG201">
        <v>3.18</v>
      </c>
      <c r="AH201">
        <v>3</v>
      </c>
      <c r="AI201">
        <v>0</v>
      </c>
      <c r="AJ201" t="s">
        <v>744</v>
      </c>
      <c r="AK201">
        <v>0</v>
      </c>
      <c r="AL201">
        <v>10</v>
      </c>
    </row>
    <row r="202" spans="1:38" x14ac:dyDescent="0.25">
      <c r="A202" t="s">
        <v>745</v>
      </c>
      <c r="B202">
        <v>10063</v>
      </c>
      <c r="C202">
        <v>1</v>
      </c>
      <c r="D202">
        <v>1</v>
      </c>
      <c r="E202">
        <v>1</v>
      </c>
      <c r="F202">
        <v>3</v>
      </c>
      <c r="G202">
        <v>5</v>
      </c>
      <c r="H202">
        <v>3</v>
      </c>
      <c r="I202">
        <v>0</v>
      </c>
      <c r="J202">
        <v>48495</v>
      </c>
      <c r="K202">
        <v>0</v>
      </c>
      <c r="L202">
        <v>19</v>
      </c>
      <c r="M202" t="s">
        <v>39</v>
      </c>
      <c r="N202" t="e" vm="1">
        <v>#VALUE!</v>
      </c>
      <c r="O202">
        <v>2136</v>
      </c>
      <c r="P202" t="s">
        <v>746</v>
      </c>
      <c r="Q202" t="s">
        <v>41</v>
      </c>
      <c r="R202">
        <f t="shared" ca="1" si="9"/>
        <v>47</v>
      </c>
      <c r="S202" t="s">
        <v>56</v>
      </c>
      <c r="T202" t="s">
        <v>43</v>
      </c>
      <c r="U202" t="s">
        <v>44</v>
      </c>
      <c r="V202" t="s">
        <v>45</v>
      </c>
      <c r="W202" t="s">
        <v>264</v>
      </c>
      <c r="X202">
        <f t="shared" ca="1" si="11"/>
        <v>4</v>
      </c>
      <c r="Z202" t="str">
        <f t="shared" ca="1" si="10"/>
        <v/>
      </c>
      <c r="AA202" t="s">
        <v>47</v>
      </c>
      <c r="AB202" t="s">
        <v>48</v>
      </c>
      <c r="AC202" t="s">
        <v>101</v>
      </c>
      <c r="AD202">
        <v>19</v>
      </c>
      <c r="AE202" t="s">
        <v>50</v>
      </c>
      <c r="AF202" t="s">
        <v>63</v>
      </c>
      <c r="AG202">
        <v>5</v>
      </c>
      <c r="AH202">
        <v>5</v>
      </c>
      <c r="AI202">
        <v>0</v>
      </c>
      <c r="AJ202" t="s">
        <v>116</v>
      </c>
      <c r="AK202">
        <v>0</v>
      </c>
      <c r="AL202">
        <v>11</v>
      </c>
    </row>
    <row r="203" spans="1:38" x14ac:dyDescent="0.25">
      <c r="A203" t="s">
        <v>747</v>
      </c>
      <c r="B203">
        <v>10037</v>
      </c>
      <c r="C203">
        <v>0</v>
      </c>
      <c r="D203">
        <v>3</v>
      </c>
      <c r="E203">
        <v>0</v>
      </c>
      <c r="F203">
        <v>1</v>
      </c>
      <c r="G203">
        <v>5</v>
      </c>
      <c r="H203">
        <v>4</v>
      </c>
      <c r="I203">
        <v>1</v>
      </c>
      <c r="J203">
        <v>52984</v>
      </c>
      <c r="K203">
        <v>0</v>
      </c>
      <c r="L203">
        <v>19</v>
      </c>
      <c r="M203" t="s">
        <v>39</v>
      </c>
      <c r="N203" t="e" vm="1">
        <v>#VALUE!</v>
      </c>
      <c r="O203">
        <v>1810</v>
      </c>
      <c r="P203" t="s">
        <v>748</v>
      </c>
      <c r="Q203" t="s">
        <v>68</v>
      </c>
      <c r="R203">
        <f t="shared" ca="1" si="9"/>
        <v>58</v>
      </c>
      <c r="S203" t="s">
        <v>218</v>
      </c>
      <c r="T203" t="s">
        <v>43</v>
      </c>
      <c r="U203" t="s">
        <v>44</v>
      </c>
      <c r="V203" t="s">
        <v>106</v>
      </c>
      <c r="W203" t="s">
        <v>729</v>
      </c>
      <c r="X203">
        <f t="shared" ca="1" si="11"/>
        <v>5</v>
      </c>
      <c r="Z203" t="str">
        <f t="shared" ca="1" si="10"/>
        <v/>
      </c>
      <c r="AA203" t="s">
        <v>47</v>
      </c>
      <c r="AB203" t="s">
        <v>48</v>
      </c>
      <c r="AC203" t="s">
        <v>108</v>
      </c>
      <c r="AD203">
        <v>12</v>
      </c>
      <c r="AE203" t="s">
        <v>109</v>
      </c>
      <c r="AF203" t="s">
        <v>51</v>
      </c>
      <c r="AG203">
        <v>4</v>
      </c>
      <c r="AH203">
        <v>3</v>
      </c>
      <c r="AI203">
        <v>0</v>
      </c>
      <c r="AJ203" t="s">
        <v>398</v>
      </c>
      <c r="AK203">
        <v>0</v>
      </c>
      <c r="AL203">
        <v>12</v>
      </c>
    </row>
    <row r="204" spans="1:38" x14ac:dyDescent="0.25">
      <c r="A204" t="s">
        <v>749</v>
      </c>
      <c r="B204">
        <v>10042</v>
      </c>
      <c r="C204">
        <v>0</v>
      </c>
      <c r="D204">
        <v>0</v>
      </c>
      <c r="E204">
        <v>0</v>
      </c>
      <c r="F204">
        <v>1</v>
      </c>
      <c r="G204">
        <v>6</v>
      </c>
      <c r="H204">
        <v>3</v>
      </c>
      <c r="I204">
        <v>0</v>
      </c>
      <c r="J204">
        <v>63695</v>
      </c>
      <c r="K204">
        <v>0</v>
      </c>
      <c r="L204">
        <v>3</v>
      </c>
      <c r="M204" t="s">
        <v>222</v>
      </c>
      <c r="N204" t="e" vm="18">
        <v>#VALUE!</v>
      </c>
      <c r="O204">
        <v>30428</v>
      </c>
      <c r="P204" t="s">
        <v>750</v>
      </c>
      <c r="Q204" t="s">
        <v>68</v>
      </c>
      <c r="R204">
        <f t="shared" ca="1" si="9"/>
        <v>33</v>
      </c>
      <c r="S204" t="s">
        <v>42</v>
      </c>
      <c r="T204" t="s">
        <v>43</v>
      </c>
      <c r="U204" t="s">
        <v>44</v>
      </c>
      <c r="V204" t="s">
        <v>134</v>
      </c>
      <c r="W204" t="s">
        <v>166</v>
      </c>
      <c r="X204">
        <f t="shared" ca="1" si="11"/>
        <v>5</v>
      </c>
      <c r="Z204" t="str">
        <f t="shared" ca="1" si="10"/>
        <v/>
      </c>
      <c r="AA204" t="s">
        <v>47</v>
      </c>
      <c r="AB204" t="s">
        <v>226</v>
      </c>
      <c r="AC204" t="s">
        <v>271</v>
      </c>
      <c r="AD204">
        <v>21</v>
      </c>
      <c r="AE204" t="s">
        <v>62</v>
      </c>
      <c r="AF204" t="s">
        <v>63</v>
      </c>
      <c r="AG204">
        <v>5</v>
      </c>
      <c r="AH204">
        <v>5</v>
      </c>
      <c r="AI204">
        <v>0</v>
      </c>
      <c r="AJ204" t="s">
        <v>110</v>
      </c>
      <c r="AK204">
        <v>0</v>
      </c>
      <c r="AL204">
        <v>2</v>
      </c>
    </row>
    <row r="205" spans="1:38" x14ac:dyDescent="0.25">
      <c r="A205" t="s">
        <v>751</v>
      </c>
      <c r="B205">
        <v>10206</v>
      </c>
      <c r="C205">
        <v>0</v>
      </c>
      <c r="D205">
        <v>0</v>
      </c>
      <c r="E205">
        <v>0</v>
      </c>
      <c r="F205">
        <v>1</v>
      </c>
      <c r="G205">
        <v>5</v>
      </c>
      <c r="H205">
        <v>3</v>
      </c>
      <c r="I205">
        <v>0</v>
      </c>
      <c r="J205">
        <v>62061</v>
      </c>
      <c r="K205">
        <v>0</v>
      </c>
      <c r="L205">
        <v>19</v>
      </c>
      <c r="M205" t="s">
        <v>39</v>
      </c>
      <c r="N205" t="e" vm="1">
        <v>#VALUE!</v>
      </c>
      <c r="O205">
        <v>2132</v>
      </c>
      <c r="P205" t="s">
        <v>752</v>
      </c>
      <c r="Q205" t="s">
        <v>68</v>
      </c>
      <c r="R205">
        <f t="shared" ca="1" si="9"/>
        <v>40</v>
      </c>
      <c r="S205" t="s">
        <v>42</v>
      </c>
      <c r="T205" t="s">
        <v>43</v>
      </c>
      <c r="U205" t="s">
        <v>44</v>
      </c>
      <c r="V205" t="s">
        <v>45</v>
      </c>
      <c r="W205" t="s">
        <v>166</v>
      </c>
      <c r="X205">
        <f t="shared" ca="1" si="11"/>
        <v>5</v>
      </c>
      <c r="Z205" t="str">
        <f t="shared" ca="1" si="10"/>
        <v/>
      </c>
      <c r="AA205" t="s">
        <v>47</v>
      </c>
      <c r="AB205" t="s">
        <v>48</v>
      </c>
      <c r="AC205" t="s">
        <v>122</v>
      </c>
      <c r="AD205">
        <v>14</v>
      </c>
      <c r="AE205" t="s">
        <v>50</v>
      </c>
      <c r="AF205" t="s">
        <v>63</v>
      </c>
      <c r="AG205">
        <v>3.6</v>
      </c>
      <c r="AH205">
        <v>5</v>
      </c>
      <c r="AI205">
        <v>0</v>
      </c>
      <c r="AJ205" t="s">
        <v>96</v>
      </c>
      <c r="AK205">
        <v>0</v>
      </c>
      <c r="AL205">
        <v>4</v>
      </c>
    </row>
    <row r="206" spans="1:38" x14ac:dyDescent="0.25">
      <c r="A206" t="s">
        <v>753</v>
      </c>
      <c r="B206">
        <v>10104</v>
      </c>
      <c r="C206">
        <v>0</v>
      </c>
      <c r="D206">
        <v>0</v>
      </c>
      <c r="E206">
        <v>0</v>
      </c>
      <c r="F206">
        <v>1</v>
      </c>
      <c r="G206">
        <v>5</v>
      </c>
      <c r="H206">
        <v>3</v>
      </c>
      <c r="I206">
        <v>0</v>
      </c>
      <c r="J206">
        <v>66738</v>
      </c>
      <c r="K206">
        <v>0</v>
      </c>
      <c r="L206">
        <v>20</v>
      </c>
      <c r="M206" t="s">
        <v>66</v>
      </c>
      <c r="N206" t="e" vm="1">
        <v>#VALUE!</v>
      </c>
      <c r="O206">
        <v>1040</v>
      </c>
      <c r="P206" t="s">
        <v>754</v>
      </c>
      <c r="Q206" t="s">
        <v>68</v>
      </c>
      <c r="R206">
        <f t="shared" ca="1" si="9"/>
        <v>39</v>
      </c>
      <c r="S206" t="s">
        <v>42</v>
      </c>
      <c r="T206" t="s">
        <v>43</v>
      </c>
      <c r="U206" t="s">
        <v>44</v>
      </c>
      <c r="V206" t="s">
        <v>45</v>
      </c>
      <c r="W206" t="s">
        <v>93</v>
      </c>
      <c r="X206">
        <f t="shared" ca="1" si="11"/>
        <v>4</v>
      </c>
      <c r="Z206" t="str">
        <f t="shared" ca="1" si="10"/>
        <v/>
      </c>
      <c r="AA206" t="s">
        <v>47</v>
      </c>
      <c r="AB206" t="s">
        <v>48</v>
      </c>
      <c r="AC206" t="s">
        <v>75</v>
      </c>
      <c r="AD206">
        <v>16</v>
      </c>
      <c r="AE206" t="s">
        <v>62</v>
      </c>
      <c r="AF206" t="s">
        <v>63</v>
      </c>
      <c r="AG206">
        <v>4.53</v>
      </c>
      <c r="AH206">
        <v>5</v>
      </c>
      <c r="AI206">
        <v>0</v>
      </c>
      <c r="AJ206" t="s">
        <v>463</v>
      </c>
      <c r="AK206">
        <v>0</v>
      </c>
      <c r="AL206">
        <v>5</v>
      </c>
    </row>
    <row r="207" spans="1:38" x14ac:dyDescent="0.25">
      <c r="A207" t="s">
        <v>755</v>
      </c>
      <c r="B207">
        <v>10303</v>
      </c>
      <c r="C207">
        <v>0</v>
      </c>
      <c r="D207">
        <v>0</v>
      </c>
      <c r="E207">
        <v>0</v>
      </c>
      <c r="F207">
        <v>4</v>
      </c>
      <c r="G207">
        <v>5</v>
      </c>
      <c r="H207">
        <v>1</v>
      </c>
      <c r="I207">
        <v>0</v>
      </c>
      <c r="J207">
        <v>52674</v>
      </c>
      <c r="K207">
        <v>1</v>
      </c>
      <c r="L207">
        <v>19</v>
      </c>
      <c r="M207" t="s">
        <v>39</v>
      </c>
      <c r="N207" t="e" vm="1">
        <v>#VALUE!</v>
      </c>
      <c r="O207">
        <v>2152</v>
      </c>
      <c r="P207" t="s">
        <v>756</v>
      </c>
      <c r="Q207" t="s">
        <v>68</v>
      </c>
      <c r="R207">
        <f t="shared" ca="1" si="9"/>
        <v>39</v>
      </c>
      <c r="S207" t="s">
        <v>42</v>
      </c>
      <c r="T207" t="s">
        <v>43</v>
      </c>
      <c r="U207" t="s">
        <v>44</v>
      </c>
      <c r="V207" t="s">
        <v>134</v>
      </c>
      <c r="W207" t="s">
        <v>248</v>
      </c>
      <c r="X207">
        <f t="shared" ca="1" si="11"/>
        <v>4</v>
      </c>
      <c r="Y207" t="s">
        <v>757</v>
      </c>
      <c r="Z207">
        <f t="shared" ca="1" si="10"/>
        <v>474</v>
      </c>
      <c r="AA207" t="s">
        <v>59</v>
      </c>
      <c r="AB207" t="s">
        <v>48</v>
      </c>
      <c r="AC207" t="s">
        <v>70</v>
      </c>
      <c r="AD207">
        <v>20</v>
      </c>
      <c r="AE207" t="s">
        <v>50</v>
      </c>
      <c r="AF207" t="s">
        <v>351</v>
      </c>
      <c r="AG207">
        <v>2.33</v>
      </c>
      <c r="AH207">
        <v>2</v>
      </c>
      <c r="AI207">
        <v>0</v>
      </c>
      <c r="AJ207" t="s">
        <v>758</v>
      </c>
      <c r="AK207">
        <v>6</v>
      </c>
      <c r="AL207">
        <v>3</v>
      </c>
    </row>
    <row r="208" spans="1:38" x14ac:dyDescent="0.25">
      <c r="A208" t="s">
        <v>759</v>
      </c>
      <c r="B208">
        <v>10078</v>
      </c>
      <c r="C208">
        <v>1</v>
      </c>
      <c r="D208">
        <v>1</v>
      </c>
      <c r="E208">
        <v>0</v>
      </c>
      <c r="F208">
        <v>5</v>
      </c>
      <c r="G208">
        <v>5</v>
      </c>
      <c r="H208">
        <v>3</v>
      </c>
      <c r="I208">
        <v>0</v>
      </c>
      <c r="J208">
        <v>71966</v>
      </c>
      <c r="K208">
        <v>1</v>
      </c>
      <c r="L208">
        <v>20</v>
      </c>
      <c r="M208" t="s">
        <v>66</v>
      </c>
      <c r="N208" t="e" vm="1">
        <v>#VALUE!</v>
      </c>
      <c r="O208">
        <v>2492</v>
      </c>
      <c r="P208" t="s">
        <v>760</v>
      </c>
      <c r="Q208" t="s">
        <v>68</v>
      </c>
      <c r="R208">
        <f t="shared" ca="1" si="9"/>
        <v>72</v>
      </c>
      <c r="S208" t="s">
        <v>56</v>
      </c>
      <c r="T208" t="s">
        <v>43</v>
      </c>
      <c r="U208" t="s">
        <v>44</v>
      </c>
      <c r="V208" t="s">
        <v>165</v>
      </c>
      <c r="W208" t="s">
        <v>270</v>
      </c>
      <c r="X208">
        <f t="shared" ca="1" si="11"/>
        <v>6</v>
      </c>
      <c r="Y208" t="s">
        <v>103</v>
      </c>
      <c r="Z208">
        <f t="shared" ca="1" si="10"/>
        <v>9</v>
      </c>
      <c r="AA208" t="s">
        <v>59</v>
      </c>
      <c r="AB208" t="s">
        <v>48</v>
      </c>
      <c r="AC208" t="s">
        <v>82</v>
      </c>
      <c r="AD208">
        <v>39</v>
      </c>
      <c r="AE208" t="s">
        <v>50</v>
      </c>
      <c r="AF208" t="s">
        <v>63</v>
      </c>
      <c r="AG208">
        <v>5</v>
      </c>
      <c r="AH208">
        <v>3</v>
      </c>
      <c r="AI208">
        <v>0</v>
      </c>
      <c r="AJ208" t="s">
        <v>761</v>
      </c>
      <c r="AK208">
        <v>0</v>
      </c>
      <c r="AL208">
        <v>17</v>
      </c>
    </row>
    <row r="209" spans="1:38" x14ac:dyDescent="0.25">
      <c r="A209" t="s">
        <v>762</v>
      </c>
      <c r="B209">
        <v>10121</v>
      </c>
      <c r="C209">
        <v>0</v>
      </c>
      <c r="D209">
        <v>0</v>
      </c>
      <c r="E209">
        <v>0</v>
      </c>
      <c r="F209">
        <v>1</v>
      </c>
      <c r="G209">
        <v>6</v>
      </c>
      <c r="H209">
        <v>3</v>
      </c>
      <c r="I209">
        <v>0</v>
      </c>
      <c r="J209">
        <v>63051</v>
      </c>
      <c r="K209">
        <v>0</v>
      </c>
      <c r="L209">
        <v>3</v>
      </c>
      <c r="M209" t="s">
        <v>222</v>
      </c>
      <c r="N209" t="e" vm="19">
        <v>#VALUE!</v>
      </c>
      <c r="O209">
        <v>33174</v>
      </c>
      <c r="P209" t="s">
        <v>763</v>
      </c>
      <c r="Q209" t="s">
        <v>68</v>
      </c>
      <c r="R209">
        <f t="shared" ca="1" si="9"/>
        <v>27</v>
      </c>
      <c r="S209" t="s">
        <v>42</v>
      </c>
      <c r="T209" t="s">
        <v>43</v>
      </c>
      <c r="U209" t="s">
        <v>119</v>
      </c>
      <c r="V209" t="s">
        <v>45</v>
      </c>
      <c r="W209" t="s">
        <v>100</v>
      </c>
      <c r="X209">
        <f t="shared" ca="1" si="11"/>
        <v>5</v>
      </c>
      <c r="Z209" t="str">
        <f t="shared" ca="1" si="10"/>
        <v/>
      </c>
      <c r="AA209" t="s">
        <v>47</v>
      </c>
      <c r="AB209" t="s">
        <v>226</v>
      </c>
      <c r="AC209" t="s">
        <v>271</v>
      </c>
      <c r="AD209">
        <v>21</v>
      </c>
      <c r="AE209" t="s">
        <v>62</v>
      </c>
      <c r="AF209" t="s">
        <v>63</v>
      </c>
      <c r="AG209">
        <v>4.28</v>
      </c>
      <c r="AH209">
        <v>3</v>
      </c>
      <c r="AI209">
        <v>0</v>
      </c>
      <c r="AJ209" t="s">
        <v>110</v>
      </c>
      <c r="AK209">
        <v>0</v>
      </c>
      <c r="AL209">
        <v>1</v>
      </c>
    </row>
    <row r="210" spans="1:38" x14ac:dyDescent="0.25">
      <c r="A210" t="s">
        <v>764</v>
      </c>
      <c r="B210">
        <v>10021</v>
      </c>
      <c r="C210">
        <v>1</v>
      </c>
      <c r="D210">
        <v>1</v>
      </c>
      <c r="E210">
        <v>1</v>
      </c>
      <c r="F210">
        <v>1</v>
      </c>
      <c r="G210">
        <v>5</v>
      </c>
      <c r="H210">
        <v>4</v>
      </c>
      <c r="I210">
        <v>0</v>
      </c>
      <c r="J210">
        <v>47414</v>
      </c>
      <c r="K210">
        <v>0</v>
      </c>
      <c r="L210">
        <v>19</v>
      </c>
      <c r="M210" t="s">
        <v>39</v>
      </c>
      <c r="N210" t="e" vm="1">
        <v>#VALUE!</v>
      </c>
      <c r="O210">
        <v>2478</v>
      </c>
      <c r="P210" t="s">
        <v>765</v>
      </c>
      <c r="Q210" t="s">
        <v>41</v>
      </c>
      <c r="R210">
        <f t="shared" ca="1" si="9"/>
        <v>45</v>
      </c>
      <c r="S210" t="s">
        <v>56</v>
      </c>
      <c r="T210" t="s">
        <v>43</v>
      </c>
      <c r="U210" t="s">
        <v>44</v>
      </c>
      <c r="V210" t="s">
        <v>45</v>
      </c>
      <c r="W210" t="s">
        <v>100</v>
      </c>
      <c r="X210">
        <f t="shared" ca="1" si="11"/>
        <v>5</v>
      </c>
      <c r="Z210" t="str">
        <f t="shared" ca="1" si="10"/>
        <v/>
      </c>
      <c r="AA210" t="s">
        <v>47</v>
      </c>
      <c r="AB210" t="s">
        <v>48</v>
      </c>
      <c r="AC210" t="s">
        <v>136</v>
      </c>
      <c r="AD210">
        <v>18</v>
      </c>
      <c r="AE210" t="s">
        <v>50</v>
      </c>
      <c r="AF210" t="s">
        <v>51</v>
      </c>
      <c r="AG210">
        <v>5</v>
      </c>
      <c r="AH210">
        <v>3</v>
      </c>
      <c r="AI210">
        <v>0</v>
      </c>
      <c r="AJ210" t="s">
        <v>477</v>
      </c>
      <c r="AK210">
        <v>0</v>
      </c>
      <c r="AL210">
        <v>13</v>
      </c>
    </row>
    <row r="211" spans="1:38" x14ac:dyDescent="0.25">
      <c r="A211" t="s">
        <v>766</v>
      </c>
      <c r="B211">
        <v>10281</v>
      </c>
      <c r="C211">
        <v>0</v>
      </c>
      <c r="D211">
        <v>0</v>
      </c>
      <c r="E211">
        <v>1</v>
      </c>
      <c r="F211">
        <v>1</v>
      </c>
      <c r="G211">
        <v>5</v>
      </c>
      <c r="H211">
        <v>2</v>
      </c>
      <c r="I211">
        <v>0</v>
      </c>
      <c r="J211">
        <v>53060</v>
      </c>
      <c r="K211">
        <v>0</v>
      </c>
      <c r="L211">
        <v>19</v>
      </c>
      <c r="M211" t="s">
        <v>39</v>
      </c>
      <c r="N211" t="e" vm="1">
        <v>#VALUE!</v>
      </c>
      <c r="O211">
        <v>1760</v>
      </c>
      <c r="P211" t="s">
        <v>767</v>
      </c>
      <c r="Q211" t="s">
        <v>41</v>
      </c>
      <c r="R211">
        <f t="shared" ca="1" si="9"/>
        <v>41</v>
      </c>
      <c r="S211" t="s">
        <v>42</v>
      </c>
      <c r="T211" t="s">
        <v>43</v>
      </c>
      <c r="U211" t="s">
        <v>44</v>
      </c>
      <c r="V211" t="s">
        <v>106</v>
      </c>
      <c r="W211" t="s">
        <v>188</v>
      </c>
      <c r="X211">
        <f t="shared" ca="1" si="11"/>
        <v>4</v>
      </c>
      <c r="Z211" t="str">
        <f t="shared" ca="1" si="10"/>
        <v/>
      </c>
      <c r="AA211" t="s">
        <v>47</v>
      </c>
      <c r="AB211" t="s">
        <v>48</v>
      </c>
      <c r="AC211" t="s">
        <v>49</v>
      </c>
      <c r="AD211">
        <v>22</v>
      </c>
      <c r="AE211" t="s">
        <v>50</v>
      </c>
      <c r="AF211" t="s">
        <v>180</v>
      </c>
      <c r="AG211">
        <v>4.25</v>
      </c>
      <c r="AH211">
        <v>3</v>
      </c>
      <c r="AI211">
        <v>0</v>
      </c>
      <c r="AJ211" t="s">
        <v>313</v>
      </c>
      <c r="AK211">
        <v>4</v>
      </c>
      <c r="AL211">
        <v>6</v>
      </c>
    </row>
    <row r="212" spans="1:38" x14ac:dyDescent="0.25">
      <c r="A212" t="s">
        <v>768</v>
      </c>
      <c r="B212">
        <v>10041</v>
      </c>
      <c r="C212">
        <v>0</v>
      </c>
      <c r="D212">
        <v>0</v>
      </c>
      <c r="E212">
        <v>1</v>
      </c>
      <c r="F212">
        <v>1</v>
      </c>
      <c r="G212">
        <v>6</v>
      </c>
      <c r="H212">
        <v>3</v>
      </c>
      <c r="I212">
        <v>0</v>
      </c>
      <c r="J212">
        <v>68829</v>
      </c>
      <c r="K212">
        <v>0</v>
      </c>
      <c r="L212">
        <v>3</v>
      </c>
      <c r="M212" t="s">
        <v>222</v>
      </c>
      <c r="N212" t="e" vm="20">
        <v>#VALUE!</v>
      </c>
      <c r="O212">
        <v>27229</v>
      </c>
      <c r="P212" t="s">
        <v>769</v>
      </c>
      <c r="Q212" t="s">
        <v>41</v>
      </c>
      <c r="R212">
        <f t="shared" ca="1" si="9"/>
        <v>36</v>
      </c>
      <c r="S212" t="s">
        <v>42</v>
      </c>
      <c r="T212" t="s">
        <v>43</v>
      </c>
      <c r="U212" t="s">
        <v>44</v>
      </c>
      <c r="V212" t="s">
        <v>45</v>
      </c>
      <c r="W212" t="s">
        <v>114</v>
      </c>
      <c r="X212">
        <f t="shared" ca="1" si="11"/>
        <v>4</v>
      </c>
      <c r="Z212" t="str">
        <f t="shared" ca="1" si="10"/>
        <v/>
      </c>
      <c r="AA212" t="s">
        <v>47</v>
      </c>
      <c r="AB212" t="s">
        <v>226</v>
      </c>
      <c r="AC212" t="s">
        <v>227</v>
      </c>
      <c r="AD212">
        <v>17</v>
      </c>
      <c r="AE212" t="s">
        <v>368</v>
      </c>
      <c r="AF212" t="s">
        <v>63</v>
      </c>
      <c r="AG212">
        <v>5</v>
      </c>
      <c r="AH212">
        <v>5</v>
      </c>
      <c r="AI212">
        <v>0</v>
      </c>
      <c r="AJ212" t="s">
        <v>152</v>
      </c>
      <c r="AK212">
        <v>0</v>
      </c>
      <c r="AL212">
        <v>18</v>
      </c>
    </row>
    <row r="213" spans="1:38" x14ac:dyDescent="0.25">
      <c r="A213" t="s">
        <v>770</v>
      </c>
      <c r="B213">
        <v>10148</v>
      </c>
      <c r="C213">
        <v>1</v>
      </c>
      <c r="D213">
        <v>1</v>
      </c>
      <c r="E213">
        <v>0</v>
      </c>
      <c r="F213">
        <v>5</v>
      </c>
      <c r="G213">
        <v>5</v>
      </c>
      <c r="H213">
        <v>3</v>
      </c>
      <c r="I213">
        <v>0</v>
      </c>
      <c r="J213">
        <v>63515</v>
      </c>
      <c r="K213">
        <v>1</v>
      </c>
      <c r="L213">
        <v>19</v>
      </c>
      <c r="M213" t="s">
        <v>39</v>
      </c>
      <c r="N213" t="e" vm="1">
        <v>#VALUE!</v>
      </c>
      <c r="O213">
        <v>2351</v>
      </c>
      <c r="P213" t="s">
        <v>531</v>
      </c>
      <c r="Q213" t="s">
        <v>68</v>
      </c>
      <c r="R213">
        <f t="shared" ca="1" si="9"/>
        <v>43</v>
      </c>
      <c r="S213" t="s">
        <v>56</v>
      </c>
      <c r="T213" t="s">
        <v>43</v>
      </c>
      <c r="U213" t="s">
        <v>44</v>
      </c>
      <c r="V213" t="s">
        <v>45</v>
      </c>
      <c r="W213" t="s">
        <v>771</v>
      </c>
      <c r="X213">
        <f t="shared" ca="1" si="11"/>
        <v>8</v>
      </c>
      <c r="Y213" t="s">
        <v>772</v>
      </c>
      <c r="Z213">
        <f t="shared" ca="1" si="10"/>
        <v>400</v>
      </c>
      <c r="AA213" t="s">
        <v>59</v>
      </c>
      <c r="AB213" t="s">
        <v>48</v>
      </c>
      <c r="AC213" t="s">
        <v>75</v>
      </c>
      <c r="AD213">
        <v>16</v>
      </c>
      <c r="AE213" t="s">
        <v>83</v>
      </c>
      <c r="AF213" t="s">
        <v>63</v>
      </c>
      <c r="AG213">
        <v>3.89</v>
      </c>
      <c r="AH213">
        <v>4</v>
      </c>
      <c r="AI213">
        <v>0</v>
      </c>
      <c r="AJ213" t="s">
        <v>206</v>
      </c>
      <c r="AK213">
        <v>0</v>
      </c>
      <c r="AL213">
        <v>7</v>
      </c>
    </row>
    <row r="214" spans="1:38" x14ac:dyDescent="0.25">
      <c r="A214" t="s">
        <v>773</v>
      </c>
      <c r="B214">
        <v>10005</v>
      </c>
      <c r="C214">
        <v>0</v>
      </c>
      <c r="D214">
        <v>0</v>
      </c>
      <c r="E214">
        <v>1</v>
      </c>
      <c r="F214">
        <v>5</v>
      </c>
      <c r="G214">
        <v>4</v>
      </c>
      <c r="H214">
        <v>4</v>
      </c>
      <c r="I214">
        <v>1</v>
      </c>
      <c r="J214">
        <v>108987</v>
      </c>
      <c r="K214">
        <v>1</v>
      </c>
      <c r="L214">
        <v>24</v>
      </c>
      <c r="M214" t="s">
        <v>91</v>
      </c>
      <c r="N214" t="e" vm="1">
        <v>#VALUE!</v>
      </c>
      <c r="O214">
        <v>1844</v>
      </c>
      <c r="P214" t="s">
        <v>774</v>
      </c>
      <c r="Q214" t="s">
        <v>41</v>
      </c>
      <c r="R214">
        <f t="shared" ca="1" si="9"/>
        <v>38</v>
      </c>
      <c r="S214" t="s">
        <v>42</v>
      </c>
      <c r="T214" t="s">
        <v>43</v>
      </c>
      <c r="U214" t="s">
        <v>44</v>
      </c>
      <c r="V214" t="s">
        <v>106</v>
      </c>
      <c r="W214" t="s">
        <v>338</v>
      </c>
      <c r="X214">
        <f t="shared" ca="1" si="11"/>
        <v>7</v>
      </c>
      <c r="Y214" t="s">
        <v>775</v>
      </c>
      <c r="Z214">
        <f t="shared" ca="1" si="10"/>
        <v>458</v>
      </c>
      <c r="AA214" t="s">
        <v>59</v>
      </c>
      <c r="AB214" t="s">
        <v>94</v>
      </c>
      <c r="AC214" t="s">
        <v>95</v>
      </c>
      <c r="AD214">
        <v>10</v>
      </c>
      <c r="AE214" t="s">
        <v>109</v>
      </c>
      <c r="AF214" t="s">
        <v>51</v>
      </c>
      <c r="AG214">
        <v>5</v>
      </c>
      <c r="AH214">
        <v>5</v>
      </c>
      <c r="AI214">
        <v>3</v>
      </c>
      <c r="AJ214" t="s">
        <v>776</v>
      </c>
      <c r="AK214">
        <v>0</v>
      </c>
      <c r="AL214">
        <v>13</v>
      </c>
    </row>
    <row r="215" spans="1:38" x14ac:dyDescent="0.25">
      <c r="A215" t="s">
        <v>777</v>
      </c>
      <c r="B215">
        <v>10259</v>
      </c>
      <c r="C215">
        <v>1</v>
      </c>
      <c r="D215">
        <v>1</v>
      </c>
      <c r="E215">
        <v>1</v>
      </c>
      <c r="F215">
        <v>5</v>
      </c>
      <c r="G215">
        <v>3</v>
      </c>
      <c r="H215">
        <v>3</v>
      </c>
      <c r="I215">
        <v>0</v>
      </c>
      <c r="J215">
        <v>93093</v>
      </c>
      <c r="K215">
        <v>1</v>
      </c>
      <c r="L215">
        <v>9</v>
      </c>
      <c r="M215" t="s">
        <v>130</v>
      </c>
      <c r="N215" t="e" vm="1">
        <v>#VALUE!</v>
      </c>
      <c r="O215">
        <v>2747</v>
      </c>
      <c r="P215" t="s">
        <v>283</v>
      </c>
      <c r="Q215" t="s">
        <v>41</v>
      </c>
      <c r="R215">
        <f t="shared" ca="1" si="9"/>
        <v>38</v>
      </c>
      <c r="S215" t="s">
        <v>56</v>
      </c>
      <c r="T215" t="s">
        <v>43</v>
      </c>
      <c r="U215" t="s">
        <v>44</v>
      </c>
      <c r="V215" t="s">
        <v>45</v>
      </c>
      <c r="W215" t="s">
        <v>778</v>
      </c>
      <c r="X215">
        <f t="shared" ca="1" si="11"/>
        <v>4</v>
      </c>
      <c r="Y215" t="s">
        <v>779</v>
      </c>
      <c r="Z215">
        <f t="shared" ca="1" si="10"/>
        <v>848</v>
      </c>
      <c r="AA215" t="s">
        <v>59</v>
      </c>
      <c r="AB215" t="s">
        <v>60</v>
      </c>
      <c r="AC215" t="s">
        <v>61</v>
      </c>
      <c r="AD215">
        <v>4</v>
      </c>
      <c r="AE215" t="s">
        <v>102</v>
      </c>
      <c r="AF215" t="s">
        <v>63</v>
      </c>
      <c r="AG215">
        <v>4.7</v>
      </c>
      <c r="AH215">
        <v>4</v>
      </c>
      <c r="AI215">
        <v>5</v>
      </c>
      <c r="AJ215" t="s">
        <v>780</v>
      </c>
      <c r="AK215">
        <v>0</v>
      </c>
      <c r="AL215">
        <v>19</v>
      </c>
    </row>
    <row r="216" spans="1:38" x14ac:dyDescent="0.25">
      <c r="A216" t="s">
        <v>781</v>
      </c>
      <c r="B216">
        <v>10286</v>
      </c>
      <c r="C216">
        <v>0</v>
      </c>
      <c r="D216">
        <v>0</v>
      </c>
      <c r="E216">
        <v>1</v>
      </c>
      <c r="F216">
        <v>5</v>
      </c>
      <c r="G216">
        <v>5</v>
      </c>
      <c r="H216">
        <v>2</v>
      </c>
      <c r="I216">
        <v>0</v>
      </c>
      <c r="J216">
        <v>53564</v>
      </c>
      <c r="K216">
        <v>1</v>
      </c>
      <c r="L216">
        <v>19</v>
      </c>
      <c r="M216" t="s">
        <v>39</v>
      </c>
      <c r="N216" t="e" vm="1">
        <v>#VALUE!</v>
      </c>
      <c r="O216">
        <v>2458</v>
      </c>
      <c r="P216" t="s">
        <v>782</v>
      </c>
      <c r="Q216" t="s">
        <v>41</v>
      </c>
      <c r="R216">
        <f t="shared" ca="1" si="9"/>
        <v>28</v>
      </c>
      <c r="S216" t="s">
        <v>42</v>
      </c>
      <c r="T216" t="s">
        <v>43</v>
      </c>
      <c r="U216" t="s">
        <v>44</v>
      </c>
      <c r="V216" t="s">
        <v>106</v>
      </c>
      <c r="W216" t="s">
        <v>120</v>
      </c>
      <c r="X216">
        <f t="shared" ca="1" si="11"/>
        <v>8</v>
      </c>
      <c r="Y216" t="s">
        <v>783</v>
      </c>
      <c r="Z216">
        <f t="shared" ca="1" si="10"/>
        <v>129</v>
      </c>
      <c r="AA216" t="s">
        <v>59</v>
      </c>
      <c r="AB216" t="s">
        <v>48</v>
      </c>
      <c r="AC216" t="s">
        <v>82</v>
      </c>
      <c r="AD216">
        <v>39</v>
      </c>
      <c r="AE216" t="s">
        <v>83</v>
      </c>
      <c r="AF216" t="s">
        <v>180</v>
      </c>
      <c r="AG216">
        <v>3.54</v>
      </c>
      <c r="AH216">
        <v>5</v>
      </c>
      <c r="AI216">
        <v>0</v>
      </c>
      <c r="AJ216" t="s">
        <v>784</v>
      </c>
      <c r="AK216">
        <v>4</v>
      </c>
      <c r="AL216">
        <v>15</v>
      </c>
    </row>
    <row r="217" spans="1:38" x14ac:dyDescent="0.25">
      <c r="A217" t="s">
        <v>785</v>
      </c>
      <c r="B217">
        <v>10297</v>
      </c>
      <c r="C217">
        <v>1</v>
      </c>
      <c r="D217">
        <v>1</v>
      </c>
      <c r="E217">
        <v>0</v>
      </c>
      <c r="F217">
        <v>5</v>
      </c>
      <c r="G217">
        <v>5</v>
      </c>
      <c r="H217">
        <v>2</v>
      </c>
      <c r="I217">
        <v>0</v>
      </c>
      <c r="J217">
        <v>60270</v>
      </c>
      <c r="K217">
        <v>1</v>
      </c>
      <c r="L217">
        <v>20</v>
      </c>
      <c r="M217" t="s">
        <v>66</v>
      </c>
      <c r="N217" t="e" vm="1">
        <v>#VALUE!</v>
      </c>
      <c r="O217">
        <v>2472</v>
      </c>
      <c r="P217" t="s">
        <v>786</v>
      </c>
      <c r="Q217" t="s">
        <v>68</v>
      </c>
      <c r="R217">
        <f t="shared" ca="1" si="9"/>
        <v>27</v>
      </c>
      <c r="S217" t="s">
        <v>56</v>
      </c>
      <c r="T217" t="s">
        <v>43</v>
      </c>
      <c r="U217" t="s">
        <v>44</v>
      </c>
      <c r="V217" t="s">
        <v>165</v>
      </c>
      <c r="W217" t="s">
        <v>46</v>
      </c>
      <c r="X217">
        <f t="shared" ca="1" si="11"/>
        <v>7</v>
      </c>
      <c r="Y217" t="s">
        <v>787</v>
      </c>
      <c r="Z217">
        <f t="shared" ca="1" si="10"/>
        <v>547</v>
      </c>
      <c r="AA217" t="s">
        <v>59</v>
      </c>
      <c r="AB217" t="s">
        <v>48</v>
      </c>
      <c r="AC217" t="s">
        <v>88</v>
      </c>
      <c r="AD217">
        <v>11</v>
      </c>
      <c r="AE217" t="s">
        <v>179</v>
      </c>
      <c r="AF217" t="s">
        <v>180</v>
      </c>
      <c r="AG217">
        <v>2.4</v>
      </c>
      <c r="AH217">
        <v>5</v>
      </c>
      <c r="AI217">
        <v>0</v>
      </c>
      <c r="AJ217" t="s">
        <v>788</v>
      </c>
      <c r="AK217">
        <v>5</v>
      </c>
      <c r="AL217">
        <v>2</v>
      </c>
    </row>
    <row r="218" spans="1:38" x14ac:dyDescent="0.25">
      <c r="A218" t="s">
        <v>789</v>
      </c>
      <c r="B218">
        <v>10171</v>
      </c>
      <c r="C218">
        <v>0</v>
      </c>
      <c r="D218">
        <v>0</v>
      </c>
      <c r="E218">
        <v>0</v>
      </c>
      <c r="F218">
        <v>5</v>
      </c>
      <c r="G218">
        <v>5</v>
      </c>
      <c r="H218">
        <v>3</v>
      </c>
      <c r="I218">
        <v>0</v>
      </c>
      <c r="J218">
        <v>45998</v>
      </c>
      <c r="K218">
        <v>1</v>
      </c>
      <c r="L218">
        <v>19</v>
      </c>
      <c r="M218" t="s">
        <v>39</v>
      </c>
      <c r="N218" t="e" vm="1">
        <v>#VALUE!</v>
      </c>
      <c r="O218">
        <v>2176</v>
      </c>
      <c r="P218" t="s">
        <v>790</v>
      </c>
      <c r="Q218" t="s">
        <v>68</v>
      </c>
      <c r="R218">
        <f t="shared" ca="1" si="9"/>
        <v>32</v>
      </c>
      <c r="S218" t="s">
        <v>42</v>
      </c>
      <c r="T218" t="s">
        <v>43</v>
      </c>
      <c r="U218" t="s">
        <v>44</v>
      </c>
      <c r="V218" t="s">
        <v>45</v>
      </c>
      <c r="W218" t="s">
        <v>288</v>
      </c>
      <c r="X218">
        <f t="shared" ca="1" si="11"/>
        <v>7</v>
      </c>
      <c r="Y218" t="s">
        <v>772</v>
      </c>
      <c r="Z218">
        <f t="shared" ca="1" si="10"/>
        <v>400</v>
      </c>
      <c r="AA218" t="s">
        <v>59</v>
      </c>
      <c r="AB218" t="s">
        <v>48</v>
      </c>
      <c r="AC218" t="s">
        <v>88</v>
      </c>
      <c r="AD218">
        <v>11</v>
      </c>
      <c r="AE218" t="s">
        <v>50</v>
      </c>
      <c r="AF218" t="s">
        <v>63</v>
      </c>
      <c r="AG218">
        <v>3.45</v>
      </c>
      <c r="AH218">
        <v>4</v>
      </c>
      <c r="AI218">
        <v>0</v>
      </c>
      <c r="AJ218" t="s">
        <v>791</v>
      </c>
      <c r="AK218">
        <v>0</v>
      </c>
      <c r="AL218">
        <v>5</v>
      </c>
    </row>
    <row r="219" spans="1:38" x14ac:dyDescent="0.25">
      <c r="A219" t="s">
        <v>792</v>
      </c>
      <c r="B219">
        <v>10032</v>
      </c>
      <c r="C219">
        <v>1</v>
      </c>
      <c r="D219">
        <v>1</v>
      </c>
      <c r="E219">
        <v>0</v>
      </c>
      <c r="F219">
        <v>5</v>
      </c>
      <c r="G219">
        <v>5</v>
      </c>
      <c r="H219">
        <v>4</v>
      </c>
      <c r="I219">
        <v>0</v>
      </c>
      <c r="J219">
        <v>57954</v>
      </c>
      <c r="K219">
        <v>1</v>
      </c>
      <c r="L219">
        <v>20</v>
      </c>
      <c r="M219" t="s">
        <v>66</v>
      </c>
      <c r="N219" t="e" vm="1">
        <v>#VALUE!</v>
      </c>
      <c r="O219">
        <v>1886</v>
      </c>
      <c r="P219" t="s">
        <v>793</v>
      </c>
      <c r="Q219" t="s">
        <v>68</v>
      </c>
      <c r="R219">
        <f t="shared" ca="1" si="9"/>
        <v>35</v>
      </c>
      <c r="S219" t="s">
        <v>56</v>
      </c>
      <c r="T219" t="s">
        <v>43</v>
      </c>
      <c r="U219" t="s">
        <v>44</v>
      </c>
      <c r="V219" t="s">
        <v>45</v>
      </c>
      <c r="W219" t="s">
        <v>288</v>
      </c>
      <c r="X219">
        <f t="shared" ca="1" si="11"/>
        <v>7</v>
      </c>
      <c r="Y219" t="s">
        <v>794</v>
      </c>
      <c r="Z219" t="str">
        <f t="shared" ca="1" si="10"/>
        <v/>
      </c>
      <c r="AA219" t="s">
        <v>59</v>
      </c>
      <c r="AB219" t="s">
        <v>48</v>
      </c>
      <c r="AC219" t="s">
        <v>101</v>
      </c>
      <c r="AD219">
        <v>19</v>
      </c>
      <c r="AE219" t="s">
        <v>62</v>
      </c>
      <c r="AF219" t="s">
        <v>51</v>
      </c>
      <c r="AG219">
        <v>4.2</v>
      </c>
      <c r="AH219">
        <v>5</v>
      </c>
      <c r="AI219">
        <v>0</v>
      </c>
      <c r="AJ219" t="s">
        <v>795</v>
      </c>
      <c r="AK219">
        <v>0</v>
      </c>
      <c r="AL219">
        <v>12</v>
      </c>
    </row>
    <row r="220" spans="1:38" x14ac:dyDescent="0.25">
      <c r="A220" t="s">
        <v>796</v>
      </c>
      <c r="B220">
        <v>10130</v>
      </c>
      <c r="C220">
        <v>1</v>
      </c>
      <c r="D220">
        <v>1</v>
      </c>
      <c r="E220">
        <v>0</v>
      </c>
      <c r="F220">
        <v>5</v>
      </c>
      <c r="G220">
        <v>5</v>
      </c>
      <c r="H220">
        <v>3</v>
      </c>
      <c r="I220">
        <v>0</v>
      </c>
      <c r="J220">
        <v>74669</v>
      </c>
      <c r="K220">
        <v>1</v>
      </c>
      <c r="L220">
        <v>18</v>
      </c>
      <c r="M220" t="s">
        <v>198</v>
      </c>
      <c r="N220" t="e" vm="1">
        <v>#VALUE!</v>
      </c>
      <c r="O220">
        <v>2030</v>
      </c>
      <c r="P220" t="s">
        <v>797</v>
      </c>
      <c r="Q220" t="s">
        <v>68</v>
      </c>
      <c r="R220">
        <f t="shared" ca="1" si="9"/>
        <v>41</v>
      </c>
      <c r="S220" t="s">
        <v>56</v>
      </c>
      <c r="T220" t="s">
        <v>43</v>
      </c>
      <c r="U220" t="s">
        <v>44</v>
      </c>
      <c r="V220" t="s">
        <v>45</v>
      </c>
      <c r="W220" t="s">
        <v>798</v>
      </c>
      <c r="X220">
        <f t="shared" ca="1" si="11"/>
        <v>8</v>
      </c>
      <c r="Y220" t="s">
        <v>799</v>
      </c>
      <c r="Z220">
        <f t="shared" ca="1" si="10"/>
        <v>293</v>
      </c>
      <c r="AA220" t="s">
        <v>59</v>
      </c>
      <c r="AB220" t="s">
        <v>48</v>
      </c>
      <c r="AC220" t="s">
        <v>201</v>
      </c>
      <c r="AD220">
        <v>2</v>
      </c>
      <c r="AE220" t="s">
        <v>62</v>
      </c>
      <c r="AF220" t="s">
        <v>63</v>
      </c>
      <c r="AG220">
        <v>4.16</v>
      </c>
      <c r="AH220">
        <v>5</v>
      </c>
      <c r="AI220">
        <v>0</v>
      </c>
      <c r="AJ220" t="s">
        <v>800</v>
      </c>
      <c r="AK220">
        <v>0</v>
      </c>
      <c r="AL220">
        <v>6</v>
      </c>
    </row>
    <row r="221" spans="1:38" x14ac:dyDescent="0.25">
      <c r="A221" t="s">
        <v>801</v>
      </c>
      <c r="B221">
        <v>10217</v>
      </c>
      <c r="C221">
        <v>1</v>
      </c>
      <c r="D221">
        <v>1</v>
      </c>
      <c r="E221">
        <v>0</v>
      </c>
      <c r="F221">
        <v>1</v>
      </c>
      <c r="G221">
        <v>5</v>
      </c>
      <c r="H221">
        <v>3</v>
      </c>
      <c r="I221">
        <v>0</v>
      </c>
      <c r="J221">
        <v>74226</v>
      </c>
      <c r="K221">
        <v>0</v>
      </c>
      <c r="L221">
        <v>20</v>
      </c>
      <c r="M221" t="s">
        <v>66</v>
      </c>
      <c r="N221" t="e" vm="1">
        <v>#VALUE!</v>
      </c>
      <c r="O221">
        <v>2050</v>
      </c>
      <c r="P221" t="s">
        <v>802</v>
      </c>
      <c r="Q221" t="s">
        <v>68</v>
      </c>
      <c r="R221">
        <f t="shared" ca="1" si="9"/>
        <v>40</v>
      </c>
      <c r="S221" t="s">
        <v>56</v>
      </c>
      <c r="T221" t="s">
        <v>155</v>
      </c>
      <c r="U221" t="s">
        <v>44</v>
      </c>
      <c r="V221" t="s">
        <v>165</v>
      </c>
      <c r="W221" t="s">
        <v>126</v>
      </c>
      <c r="X221">
        <f t="shared" ca="1" si="11"/>
        <v>6</v>
      </c>
      <c r="Z221" t="str">
        <f t="shared" ca="1" si="10"/>
        <v/>
      </c>
      <c r="AA221" t="s">
        <v>47</v>
      </c>
      <c r="AB221" t="s">
        <v>48</v>
      </c>
      <c r="AC221" t="s">
        <v>108</v>
      </c>
      <c r="AD221">
        <v>12</v>
      </c>
      <c r="AE221" t="s">
        <v>50</v>
      </c>
      <c r="AF221" t="s">
        <v>63</v>
      </c>
      <c r="AG221">
        <v>4.3</v>
      </c>
      <c r="AH221">
        <v>3</v>
      </c>
      <c r="AI221">
        <v>0</v>
      </c>
      <c r="AJ221" t="s">
        <v>152</v>
      </c>
      <c r="AK221">
        <v>0</v>
      </c>
      <c r="AL221">
        <v>14</v>
      </c>
    </row>
    <row r="222" spans="1:38" x14ac:dyDescent="0.25">
      <c r="A222" t="s">
        <v>803</v>
      </c>
      <c r="B222">
        <v>10016</v>
      </c>
      <c r="C222">
        <v>1</v>
      </c>
      <c r="D222">
        <v>1</v>
      </c>
      <c r="E222">
        <v>0</v>
      </c>
      <c r="F222">
        <v>1</v>
      </c>
      <c r="G222">
        <v>3</v>
      </c>
      <c r="H222">
        <v>4</v>
      </c>
      <c r="I222">
        <v>0</v>
      </c>
      <c r="J222">
        <v>93554</v>
      </c>
      <c r="K222">
        <v>0</v>
      </c>
      <c r="L222">
        <v>9</v>
      </c>
      <c r="M222" t="s">
        <v>130</v>
      </c>
      <c r="N222" t="e" vm="1">
        <v>#VALUE!</v>
      </c>
      <c r="O222">
        <v>1886</v>
      </c>
      <c r="P222" t="s">
        <v>804</v>
      </c>
      <c r="Q222" t="s">
        <v>68</v>
      </c>
      <c r="R222">
        <f t="shared" ca="1" si="9"/>
        <v>37</v>
      </c>
      <c r="S222" t="s">
        <v>56</v>
      </c>
      <c r="T222" t="s">
        <v>43</v>
      </c>
      <c r="U222" t="s">
        <v>44</v>
      </c>
      <c r="V222" t="s">
        <v>106</v>
      </c>
      <c r="W222" t="s">
        <v>93</v>
      </c>
      <c r="X222">
        <f t="shared" ca="1" si="11"/>
        <v>4</v>
      </c>
      <c r="Z222" t="str">
        <f t="shared" ca="1" si="10"/>
        <v/>
      </c>
      <c r="AA222" t="s">
        <v>47</v>
      </c>
      <c r="AB222" t="s">
        <v>60</v>
      </c>
      <c r="AC222" t="s">
        <v>61</v>
      </c>
      <c r="AD222">
        <v>4</v>
      </c>
      <c r="AE222" t="s">
        <v>102</v>
      </c>
      <c r="AF222" t="s">
        <v>51</v>
      </c>
      <c r="AG222">
        <v>4.5999999999999996</v>
      </c>
      <c r="AH222">
        <v>5</v>
      </c>
      <c r="AI222">
        <v>7</v>
      </c>
      <c r="AJ222" t="s">
        <v>382</v>
      </c>
      <c r="AK222">
        <v>0</v>
      </c>
      <c r="AL222">
        <v>16</v>
      </c>
    </row>
    <row r="223" spans="1:38" x14ac:dyDescent="0.25">
      <c r="A223" t="s">
        <v>805</v>
      </c>
      <c r="B223">
        <v>10050</v>
      </c>
      <c r="C223">
        <v>1</v>
      </c>
      <c r="D223">
        <v>1</v>
      </c>
      <c r="E223">
        <v>1</v>
      </c>
      <c r="F223">
        <v>5</v>
      </c>
      <c r="G223">
        <v>5</v>
      </c>
      <c r="H223">
        <v>3</v>
      </c>
      <c r="I223">
        <v>0</v>
      </c>
      <c r="J223">
        <v>64724</v>
      </c>
      <c r="K223">
        <v>1</v>
      </c>
      <c r="L223">
        <v>19</v>
      </c>
      <c r="M223" t="s">
        <v>39</v>
      </c>
      <c r="N223" t="e" vm="1">
        <v>#VALUE!</v>
      </c>
      <c r="O223">
        <v>2451</v>
      </c>
      <c r="P223" t="s">
        <v>806</v>
      </c>
      <c r="Q223" t="s">
        <v>41</v>
      </c>
      <c r="R223">
        <f t="shared" ca="1" si="9"/>
        <v>36</v>
      </c>
      <c r="S223" t="s">
        <v>56</v>
      </c>
      <c r="T223" t="s">
        <v>43</v>
      </c>
      <c r="U223" t="s">
        <v>44</v>
      </c>
      <c r="V223" t="s">
        <v>165</v>
      </c>
      <c r="W223" t="s">
        <v>46</v>
      </c>
      <c r="X223">
        <f t="shared" ca="1" si="11"/>
        <v>7</v>
      </c>
      <c r="Y223" t="s">
        <v>807</v>
      </c>
      <c r="Z223">
        <f t="shared" ca="1" si="10"/>
        <v>59</v>
      </c>
      <c r="AA223" t="s">
        <v>59</v>
      </c>
      <c r="AB223" t="s">
        <v>48</v>
      </c>
      <c r="AC223" t="s">
        <v>108</v>
      </c>
      <c r="AD223">
        <v>12</v>
      </c>
      <c r="AE223" t="s">
        <v>83</v>
      </c>
      <c r="AF223" t="s">
        <v>63</v>
      </c>
      <c r="AG223">
        <v>5</v>
      </c>
      <c r="AH223">
        <v>3</v>
      </c>
      <c r="AI223">
        <v>0</v>
      </c>
      <c r="AJ223" t="s">
        <v>135</v>
      </c>
      <c r="AK223">
        <v>0</v>
      </c>
      <c r="AL223">
        <v>13</v>
      </c>
    </row>
    <row r="224" spans="1:38" x14ac:dyDescent="0.25">
      <c r="A224" t="s">
        <v>808</v>
      </c>
      <c r="B224">
        <v>10164</v>
      </c>
      <c r="C224">
        <v>0</v>
      </c>
      <c r="D224">
        <v>0</v>
      </c>
      <c r="E224">
        <v>1</v>
      </c>
      <c r="F224">
        <v>1</v>
      </c>
      <c r="G224">
        <v>5</v>
      </c>
      <c r="H224">
        <v>3</v>
      </c>
      <c r="I224">
        <v>0</v>
      </c>
      <c r="J224">
        <v>47001</v>
      </c>
      <c r="K224">
        <v>0</v>
      </c>
      <c r="L224">
        <v>19</v>
      </c>
      <c r="M224" t="s">
        <v>39</v>
      </c>
      <c r="N224" t="e" vm="1">
        <v>#VALUE!</v>
      </c>
      <c r="O224">
        <v>2451</v>
      </c>
      <c r="P224" t="s">
        <v>809</v>
      </c>
      <c r="Q224" t="s">
        <v>41</v>
      </c>
      <c r="R224">
        <f t="shared" ca="1" si="9"/>
        <v>42</v>
      </c>
      <c r="S224" t="s">
        <v>42</v>
      </c>
      <c r="T224" t="s">
        <v>43</v>
      </c>
      <c r="U224" t="s">
        <v>44</v>
      </c>
      <c r="V224" t="s">
        <v>45</v>
      </c>
      <c r="W224" t="s">
        <v>810</v>
      </c>
      <c r="X224">
        <f t="shared" ca="1" si="11"/>
        <v>11</v>
      </c>
      <c r="Z224" t="str">
        <f t="shared" ca="1" si="10"/>
        <v/>
      </c>
      <c r="AA224" t="s">
        <v>47</v>
      </c>
      <c r="AB224" t="s">
        <v>48</v>
      </c>
      <c r="AC224" t="s">
        <v>122</v>
      </c>
      <c r="AD224">
        <v>14</v>
      </c>
      <c r="AE224" t="s">
        <v>83</v>
      </c>
      <c r="AF224" t="s">
        <v>63</v>
      </c>
      <c r="AG224">
        <v>3.66</v>
      </c>
      <c r="AH224">
        <v>3</v>
      </c>
      <c r="AI224">
        <v>0</v>
      </c>
      <c r="AJ224" t="s">
        <v>103</v>
      </c>
      <c r="AK224">
        <v>0</v>
      </c>
      <c r="AL224">
        <v>15</v>
      </c>
    </row>
    <row r="225" spans="1:38" x14ac:dyDescent="0.25">
      <c r="A225" t="s">
        <v>811</v>
      </c>
      <c r="B225">
        <v>10124</v>
      </c>
      <c r="C225">
        <v>1</v>
      </c>
      <c r="D225">
        <v>1</v>
      </c>
      <c r="E225">
        <v>0</v>
      </c>
      <c r="F225">
        <v>1</v>
      </c>
      <c r="G225">
        <v>6</v>
      </c>
      <c r="H225">
        <v>3</v>
      </c>
      <c r="I225">
        <v>0</v>
      </c>
      <c r="J225">
        <v>61844</v>
      </c>
      <c r="K225">
        <v>0</v>
      </c>
      <c r="L225">
        <v>3</v>
      </c>
      <c r="M225" t="s">
        <v>222</v>
      </c>
      <c r="N225" t="e" vm="21">
        <v>#VALUE!</v>
      </c>
      <c r="O225">
        <v>40220</v>
      </c>
      <c r="P225" t="s">
        <v>812</v>
      </c>
      <c r="Q225" t="s">
        <v>68</v>
      </c>
      <c r="R225">
        <f t="shared" ca="1" si="9"/>
        <v>30</v>
      </c>
      <c r="S225" t="s">
        <v>56</v>
      </c>
      <c r="T225" t="s">
        <v>43</v>
      </c>
      <c r="U225" t="s">
        <v>44</v>
      </c>
      <c r="V225" t="s">
        <v>106</v>
      </c>
      <c r="W225" t="s">
        <v>87</v>
      </c>
      <c r="X225">
        <f t="shared" ca="1" si="11"/>
        <v>7</v>
      </c>
      <c r="Z225" t="str">
        <f t="shared" ca="1" si="10"/>
        <v/>
      </c>
      <c r="AA225" t="s">
        <v>47</v>
      </c>
      <c r="AB225" t="s">
        <v>226</v>
      </c>
      <c r="AC225" t="s">
        <v>271</v>
      </c>
      <c r="AD225">
        <v>21</v>
      </c>
      <c r="AE225" t="s">
        <v>368</v>
      </c>
      <c r="AF225" t="s">
        <v>63</v>
      </c>
      <c r="AG225">
        <v>4.2</v>
      </c>
      <c r="AH225">
        <v>5</v>
      </c>
      <c r="AI225">
        <v>0</v>
      </c>
      <c r="AJ225" t="s">
        <v>215</v>
      </c>
      <c r="AK225">
        <v>0</v>
      </c>
      <c r="AL225">
        <v>9</v>
      </c>
    </row>
    <row r="226" spans="1:38" x14ac:dyDescent="0.25">
      <c r="A226" t="s">
        <v>813</v>
      </c>
      <c r="B226">
        <v>10187</v>
      </c>
      <c r="C226">
        <v>0</v>
      </c>
      <c r="D226">
        <v>2</v>
      </c>
      <c r="E226">
        <v>0</v>
      </c>
      <c r="F226">
        <v>5</v>
      </c>
      <c r="G226">
        <v>5</v>
      </c>
      <c r="H226">
        <v>3</v>
      </c>
      <c r="I226">
        <v>0</v>
      </c>
      <c r="J226">
        <v>46799</v>
      </c>
      <c r="K226">
        <v>1</v>
      </c>
      <c r="L226">
        <v>19</v>
      </c>
      <c r="M226" t="s">
        <v>39</v>
      </c>
      <c r="N226" t="e" vm="1">
        <v>#VALUE!</v>
      </c>
      <c r="O226">
        <v>1742</v>
      </c>
      <c r="P226" t="s">
        <v>814</v>
      </c>
      <c r="Q226" t="s">
        <v>68</v>
      </c>
      <c r="R226">
        <f t="shared" ca="1" si="9"/>
        <v>35</v>
      </c>
      <c r="S226" t="s">
        <v>79</v>
      </c>
      <c r="T226" t="s">
        <v>155</v>
      </c>
      <c r="U226" t="s">
        <v>44</v>
      </c>
      <c r="V226" t="s">
        <v>165</v>
      </c>
      <c r="W226" t="s">
        <v>288</v>
      </c>
      <c r="X226">
        <f t="shared" ca="1" si="11"/>
        <v>7</v>
      </c>
      <c r="Y226" t="s">
        <v>436</v>
      </c>
      <c r="Z226">
        <f t="shared" ca="1" si="10"/>
        <v>148</v>
      </c>
      <c r="AA226" t="s">
        <v>59</v>
      </c>
      <c r="AB226" t="s">
        <v>48</v>
      </c>
      <c r="AC226" t="s">
        <v>70</v>
      </c>
      <c r="AD226">
        <v>20</v>
      </c>
      <c r="AE226" t="s">
        <v>83</v>
      </c>
      <c r="AF226" t="s">
        <v>63</v>
      </c>
      <c r="AG226">
        <v>3.17</v>
      </c>
      <c r="AH226">
        <v>4</v>
      </c>
      <c r="AI226">
        <v>0</v>
      </c>
      <c r="AJ226" t="s">
        <v>815</v>
      </c>
      <c r="AK226">
        <v>0</v>
      </c>
      <c r="AL226">
        <v>14</v>
      </c>
    </row>
    <row r="227" spans="1:38" x14ac:dyDescent="0.25">
      <c r="A227" t="s">
        <v>816</v>
      </c>
      <c r="B227">
        <v>10225</v>
      </c>
      <c r="C227">
        <v>0</v>
      </c>
      <c r="D227">
        <v>0</v>
      </c>
      <c r="E227">
        <v>1</v>
      </c>
      <c r="F227">
        <v>1</v>
      </c>
      <c r="G227">
        <v>5</v>
      </c>
      <c r="H227">
        <v>3</v>
      </c>
      <c r="I227">
        <v>0</v>
      </c>
      <c r="J227">
        <v>59472</v>
      </c>
      <c r="K227">
        <v>0</v>
      </c>
      <c r="L227">
        <v>19</v>
      </c>
      <c r="M227" t="s">
        <v>39</v>
      </c>
      <c r="N227" t="e" vm="1">
        <v>#VALUE!</v>
      </c>
      <c r="O227">
        <v>2109</v>
      </c>
      <c r="P227" t="s">
        <v>817</v>
      </c>
      <c r="Q227" t="s">
        <v>41</v>
      </c>
      <c r="R227">
        <f t="shared" ca="1" si="9"/>
        <v>58</v>
      </c>
      <c r="S227" t="s">
        <v>42</v>
      </c>
      <c r="T227" t="s">
        <v>43</v>
      </c>
      <c r="U227" t="s">
        <v>44</v>
      </c>
      <c r="V227" t="s">
        <v>45</v>
      </c>
      <c r="W227" t="s">
        <v>579</v>
      </c>
      <c r="X227">
        <f t="shared" ca="1" si="11"/>
        <v>5</v>
      </c>
      <c r="Z227" t="str">
        <f t="shared" ca="1" si="10"/>
        <v/>
      </c>
      <c r="AA227" t="s">
        <v>47</v>
      </c>
      <c r="AB227" t="s">
        <v>48</v>
      </c>
      <c r="AC227" t="s">
        <v>136</v>
      </c>
      <c r="AD227">
        <v>18</v>
      </c>
      <c r="AE227" t="s">
        <v>102</v>
      </c>
      <c r="AF227" t="s">
        <v>63</v>
      </c>
      <c r="AG227">
        <v>4.8</v>
      </c>
      <c r="AH227">
        <v>3</v>
      </c>
      <c r="AI227">
        <v>0</v>
      </c>
      <c r="AJ227" t="s">
        <v>89</v>
      </c>
      <c r="AK227">
        <v>0</v>
      </c>
      <c r="AL227">
        <v>14</v>
      </c>
    </row>
    <row r="228" spans="1:38" x14ac:dyDescent="0.25">
      <c r="A228" t="s">
        <v>818</v>
      </c>
      <c r="B228">
        <v>10262</v>
      </c>
      <c r="C228">
        <v>0</v>
      </c>
      <c r="D228">
        <v>2</v>
      </c>
      <c r="E228">
        <v>0</v>
      </c>
      <c r="F228">
        <v>5</v>
      </c>
      <c r="G228">
        <v>5</v>
      </c>
      <c r="H228">
        <v>3</v>
      </c>
      <c r="I228">
        <v>0</v>
      </c>
      <c r="J228">
        <v>46430</v>
      </c>
      <c r="K228">
        <v>1</v>
      </c>
      <c r="L228">
        <v>19</v>
      </c>
      <c r="M228" t="s">
        <v>39</v>
      </c>
      <c r="N228" t="e" vm="1">
        <v>#VALUE!</v>
      </c>
      <c r="O228">
        <v>2474</v>
      </c>
      <c r="P228" t="s">
        <v>819</v>
      </c>
      <c r="Q228" t="s">
        <v>68</v>
      </c>
      <c r="R228">
        <f t="shared" ca="1" si="9"/>
        <v>48</v>
      </c>
      <c r="S228" t="s">
        <v>79</v>
      </c>
      <c r="T228" t="s">
        <v>43</v>
      </c>
      <c r="U228" t="s">
        <v>44</v>
      </c>
      <c r="V228" t="s">
        <v>45</v>
      </c>
      <c r="W228" t="s">
        <v>140</v>
      </c>
      <c r="X228">
        <f t="shared" ca="1" si="11"/>
        <v>6</v>
      </c>
      <c r="Y228" t="s">
        <v>820</v>
      </c>
      <c r="Z228">
        <f t="shared" ca="1" si="10"/>
        <v>869</v>
      </c>
      <c r="AA228" t="s">
        <v>59</v>
      </c>
      <c r="AB228" t="s">
        <v>48</v>
      </c>
      <c r="AC228" t="s">
        <v>70</v>
      </c>
      <c r="AD228">
        <v>20</v>
      </c>
      <c r="AE228" t="s">
        <v>62</v>
      </c>
      <c r="AF228" t="s">
        <v>63</v>
      </c>
      <c r="AG228">
        <v>4.5</v>
      </c>
      <c r="AH228">
        <v>5</v>
      </c>
      <c r="AI228">
        <v>0</v>
      </c>
      <c r="AJ228" t="s">
        <v>821</v>
      </c>
      <c r="AK228">
        <v>0</v>
      </c>
      <c r="AL228">
        <v>16</v>
      </c>
    </row>
    <row r="229" spans="1:38" x14ac:dyDescent="0.25">
      <c r="A229" t="s">
        <v>822</v>
      </c>
      <c r="B229">
        <v>10131</v>
      </c>
      <c r="C229">
        <v>1</v>
      </c>
      <c r="D229">
        <v>1</v>
      </c>
      <c r="E229">
        <v>1</v>
      </c>
      <c r="F229">
        <v>5</v>
      </c>
      <c r="G229">
        <v>1</v>
      </c>
      <c r="H229">
        <v>3</v>
      </c>
      <c r="I229">
        <v>1</v>
      </c>
      <c r="J229">
        <v>83363</v>
      </c>
      <c r="K229">
        <v>1</v>
      </c>
      <c r="L229">
        <v>23</v>
      </c>
      <c r="M229" t="s">
        <v>91</v>
      </c>
      <c r="N229" t="e" vm="1">
        <v>#VALUE!</v>
      </c>
      <c r="O229">
        <v>2045</v>
      </c>
      <c r="P229" t="s">
        <v>823</v>
      </c>
      <c r="Q229" t="s">
        <v>41</v>
      </c>
      <c r="R229">
        <f t="shared" ca="1" si="9"/>
        <v>33</v>
      </c>
      <c r="S229" t="s">
        <v>56</v>
      </c>
      <c r="T229" t="s">
        <v>155</v>
      </c>
      <c r="U229" t="s">
        <v>44</v>
      </c>
      <c r="V229" t="s">
        <v>106</v>
      </c>
      <c r="W229" t="s">
        <v>146</v>
      </c>
      <c r="X229">
        <f t="shared" ca="1" si="11"/>
        <v>7</v>
      </c>
      <c r="Y229" t="s">
        <v>824</v>
      </c>
      <c r="Z229">
        <f t="shared" ca="1" si="10"/>
        <v>659</v>
      </c>
      <c r="AA229" t="s">
        <v>59</v>
      </c>
      <c r="AB229" t="s">
        <v>94</v>
      </c>
      <c r="AC229" t="s">
        <v>201</v>
      </c>
      <c r="AD229">
        <v>2</v>
      </c>
      <c r="AE229" t="s">
        <v>109</v>
      </c>
      <c r="AF229" t="s">
        <v>63</v>
      </c>
      <c r="AG229">
        <v>4.1500000000000004</v>
      </c>
      <c r="AH229">
        <v>4</v>
      </c>
      <c r="AI229">
        <v>0</v>
      </c>
      <c r="AJ229" t="s">
        <v>825</v>
      </c>
      <c r="AK229">
        <v>0</v>
      </c>
      <c r="AL229">
        <v>4</v>
      </c>
    </row>
    <row r="230" spans="1:38" x14ac:dyDescent="0.25">
      <c r="A230" t="s">
        <v>826</v>
      </c>
      <c r="B230">
        <v>10239</v>
      </c>
      <c r="C230">
        <v>1</v>
      </c>
      <c r="D230">
        <v>1</v>
      </c>
      <c r="E230">
        <v>0</v>
      </c>
      <c r="F230">
        <v>1</v>
      </c>
      <c r="G230">
        <v>3</v>
      </c>
      <c r="H230">
        <v>3</v>
      </c>
      <c r="I230">
        <v>0</v>
      </c>
      <c r="J230">
        <v>95920</v>
      </c>
      <c r="K230">
        <v>0</v>
      </c>
      <c r="L230">
        <v>4</v>
      </c>
      <c r="M230" t="s">
        <v>359</v>
      </c>
      <c r="N230" t="e" vm="1">
        <v>#VALUE!</v>
      </c>
      <c r="O230">
        <v>2110</v>
      </c>
      <c r="P230" t="s">
        <v>827</v>
      </c>
      <c r="Q230" t="s">
        <v>68</v>
      </c>
      <c r="R230">
        <f t="shared" ca="1" si="9"/>
        <v>45</v>
      </c>
      <c r="S230" t="s">
        <v>56</v>
      </c>
      <c r="T230" t="s">
        <v>43</v>
      </c>
      <c r="U230" t="s">
        <v>44</v>
      </c>
      <c r="V230" t="s">
        <v>106</v>
      </c>
      <c r="W230" t="s">
        <v>639</v>
      </c>
      <c r="X230">
        <f t="shared" ca="1" si="11"/>
        <v>2</v>
      </c>
      <c r="Z230" t="str">
        <f t="shared" ca="1" si="10"/>
        <v/>
      </c>
      <c r="AA230" t="s">
        <v>47</v>
      </c>
      <c r="AB230" t="s">
        <v>60</v>
      </c>
      <c r="AC230" t="s">
        <v>362</v>
      </c>
      <c r="AD230">
        <v>13</v>
      </c>
      <c r="AE230" t="s">
        <v>62</v>
      </c>
      <c r="AF230" t="s">
        <v>63</v>
      </c>
      <c r="AG230">
        <v>4.4000000000000004</v>
      </c>
      <c r="AH230">
        <v>4</v>
      </c>
      <c r="AI230">
        <v>6</v>
      </c>
      <c r="AJ230" t="s">
        <v>612</v>
      </c>
      <c r="AK230">
        <v>0</v>
      </c>
      <c r="AL230">
        <v>10</v>
      </c>
    </row>
    <row r="231" spans="1:38" x14ac:dyDescent="0.25">
      <c r="A231" t="s">
        <v>828</v>
      </c>
      <c r="B231">
        <v>10152</v>
      </c>
      <c r="C231">
        <v>0</v>
      </c>
      <c r="D231">
        <v>2</v>
      </c>
      <c r="E231">
        <v>1</v>
      </c>
      <c r="F231">
        <v>5</v>
      </c>
      <c r="G231">
        <v>5</v>
      </c>
      <c r="H231">
        <v>3</v>
      </c>
      <c r="I231">
        <v>0</v>
      </c>
      <c r="J231">
        <v>61729</v>
      </c>
      <c r="K231">
        <v>1</v>
      </c>
      <c r="L231">
        <v>19</v>
      </c>
      <c r="M231" t="s">
        <v>39</v>
      </c>
      <c r="N231" t="e" vm="1">
        <v>#VALUE!</v>
      </c>
      <c r="O231">
        <v>2478</v>
      </c>
      <c r="P231" t="s">
        <v>829</v>
      </c>
      <c r="Q231" t="s">
        <v>41</v>
      </c>
      <c r="R231">
        <f t="shared" ca="1" si="9"/>
        <v>39</v>
      </c>
      <c r="S231" t="s">
        <v>79</v>
      </c>
      <c r="T231" t="s">
        <v>43</v>
      </c>
      <c r="U231" t="s">
        <v>44</v>
      </c>
      <c r="V231" t="s">
        <v>45</v>
      </c>
      <c r="W231" t="s">
        <v>604</v>
      </c>
      <c r="X231">
        <f t="shared" ca="1" si="11"/>
        <v>7</v>
      </c>
      <c r="Y231" t="s">
        <v>830</v>
      </c>
      <c r="Z231">
        <f t="shared" ca="1" si="10"/>
        <v>91</v>
      </c>
      <c r="AA231" t="s">
        <v>59</v>
      </c>
      <c r="AB231" t="s">
        <v>48</v>
      </c>
      <c r="AC231" t="s">
        <v>49</v>
      </c>
      <c r="AD231">
        <v>22</v>
      </c>
      <c r="AE231" t="s">
        <v>62</v>
      </c>
      <c r="AF231" t="s">
        <v>63</v>
      </c>
      <c r="AG231">
        <v>3.8</v>
      </c>
      <c r="AH231">
        <v>5</v>
      </c>
      <c r="AI231">
        <v>0</v>
      </c>
      <c r="AJ231" t="s">
        <v>831</v>
      </c>
      <c r="AK231">
        <v>0</v>
      </c>
      <c r="AL231">
        <v>19</v>
      </c>
    </row>
    <row r="232" spans="1:38" x14ac:dyDescent="0.25">
      <c r="A232" t="s">
        <v>832</v>
      </c>
      <c r="B232">
        <v>10140</v>
      </c>
      <c r="C232">
        <v>1</v>
      </c>
      <c r="D232">
        <v>1</v>
      </c>
      <c r="E232">
        <v>1</v>
      </c>
      <c r="F232">
        <v>1</v>
      </c>
      <c r="G232">
        <v>6</v>
      </c>
      <c r="H232">
        <v>3</v>
      </c>
      <c r="I232">
        <v>0</v>
      </c>
      <c r="J232">
        <v>61809</v>
      </c>
      <c r="K232">
        <v>0</v>
      </c>
      <c r="L232">
        <v>3</v>
      </c>
      <c r="M232" t="s">
        <v>222</v>
      </c>
      <c r="N232" t="e" vm="22">
        <v>#VALUE!</v>
      </c>
      <c r="O232">
        <v>83706</v>
      </c>
      <c r="P232" t="s">
        <v>833</v>
      </c>
      <c r="Q232" t="s">
        <v>41</v>
      </c>
      <c r="R232">
        <f t="shared" ca="1" si="9"/>
        <v>70</v>
      </c>
      <c r="S232" t="s">
        <v>56</v>
      </c>
      <c r="T232" t="s">
        <v>43</v>
      </c>
      <c r="U232" t="s">
        <v>44</v>
      </c>
      <c r="V232" t="s">
        <v>45</v>
      </c>
      <c r="W232" t="s">
        <v>264</v>
      </c>
      <c r="X232">
        <f t="shared" ca="1" si="11"/>
        <v>4</v>
      </c>
      <c r="Z232" t="str">
        <f t="shared" ca="1" si="10"/>
        <v/>
      </c>
      <c r="AA232" t="s">
        <v>47</v>
      </c>
      <c r="AB232" t="s">
        <v>226</v>
      </c>
      <c r="AC232" t="s">
        <v>227</v>
      </c>
      <c r="AD232">
        <v>17</v>
      </c>
      <c r="AE232" t="s">
        <v>179</v>
      </c>
      <c r="AF232" t="s">
        <v>63</v>
      </c>
      <c r="AG232">
        <v>3.98</v>
      </c>
      <c r="AH232">
        <v>3</v>
      </c>
      <c r="AI232">
        <v>0</v>
      </c>
      <c r="AJ232" t="s">
        <v>321</v>
      </c>
      <c r="AK232">
        <v>0</v>
      </c>
      <c r="AL232">
        <v>4</v>
      </c>
    </row>
    <row r="233" spans="1:38" x14ac:dyDescent="0.25">
      <c r="A233" t="s">
        <v>834</v>
      </c>
      <c r="B233">
        <v>10058</v>
      </c>
      <c r="C233">
        <v>0</v>
      </c>
      <c r="D233">
        <v>2</v>
      </c>
      <c r="E233">
        <v>1</v>
      </c>
      <c r="F233">
        <v>5</v>
      </c>
      <c r="G233">
        <v>5</v>
      </c>
      <c r="H233">
        <v>3</v>
      </c>
      <c r="I233">
        <v>0</v>
      </c>
      <c r="J233">
        <v>45115</v>
      </c>
      <c r="K233">
        <v>1</v>
      </c>
      <c r="L233">
        <v>19</v>
      </c>
      <c r="M233" t="s">
        <v>39</v>
      </c>
      <c r="N233" t="e" vm="1">
        <v>#VALUE!</v>
      </c>
      <c r="O233">
        <v>2176</v>
      </c>
      <c r="P233" t="s">
        <v>835</v>
      </c>
      <c r="Q233" t="s">
        <v>41</v>
      </c>
      <c r="R233">
        <f t="shared" ca="1" si="9"/>
        <v>37</v>
      </c>
      <c r="S233" t="s">
        <v>79</v>
      </c>
      <c r="T233" t="s">
        <v>43</v>
      </c>
      <c r="U233" t="s">
        <v>119</v>
      </c>
      <c r="V233" t="s">
        <v>45</v>
      </c>
      <c r="W233" t="s">
        <v>288</v>
      </c>
      <c r="X233">
        <f t="shared" ca="1" si="11"/>
        <v>7</v>
      </c>
      <c r="Y233" t="s">
        <v>836</v>
      </c>
      <c r="Z233">
        <f t="shared" ca="1" si="10"/>
        <v>692</v>
      </c>
      <c r="AA233" t="s">
        <v>59</v>
      </c>
      <c r="AB233" t="s">
        <v>48</v>
      </c>
      <c r="AC233" t="s">
        <v>75</v>
      </c>
      <c r="AD233">
        <v>16</v>
      </c>
      <c r="AE233" t="s">
        <v>50</v>
      </c>
      <c r="AF233" t="s">
        <v>63</v>
      </c>
      <c r="AG233">
        <v>5</v>
      </c>
      <c r="AH233">
        <v>4</v>
      </c>
      <c r="AI233">
        <v>0</v>
      </c>
      <c r="AJ233" t="s">
        <v>57</v>
      </c>
      <c r="AK233">
        <v>0</v>
      </c>
      <c r="AL233">
        <v>11</v>
      </c>
    </row>
    <row r="234" spans="1:38" x14ac:dyDescent="0.25">
      <c r="A234" t="s">
        <v>837</v>
      </c>
      <c r="B234">
        <v>10011</v>
      </c>
      <c r="C234">
        <v>1</v>
      </c>
      <c r="D234">
        <v>1</v>
      </c>
      <c r="E234">
        <v>0</v>
      </c>
      <c r="F234">
        <v>1</v>
      </c>
      <c r="G234">
        <v>5</v>
      </c>
      <c r="H234">
        <v>4</v>
      </c>
      <c r="I234">
        <v>0</v>
      </c>
      <c r="J234">
        <v>46738</v>
      </c>
      <c r="K234">
        <v>0</v>
      </c>
      <c r="L234">
        <v>19</v>
      </c>
      <c r="M234" t="s">
        <v>39</v>
      </c>
      <c r="N234" t="e" vm="1">
        <v>#VALUE!</v>
      </c>
      <c r="O234">
        <v>2171</v>
      </c>
      <c r="P234" t="s">
        <v>838</v>
      </c>
      <c r="Q234" t="s">
        <v>68</v>
      </c>
      <c r="R234">
        <f t="shared" ca="1" si="9"/>
        <v>47</v>
      </c>
      <c r="S234" t="s">
        <v>56</v>
      </c>
      <c r="T234" t="s">
        <v>43</v>
      </c>
      <c r="U234" t="s">
        <v>44</v>
      </c>
      <c r="V234" t="s">
        <v>165</v>
      </c>
      <c r="W234" t="s">
        <v>522</v>
      </c>
      <c r="X234">
        <f t="shared" ca="1" si="11"/>
        <v>7</v>
      </c>
      <c r="Z234" t="str">
        <f t="shared" ca="1" si="10"/>
        <v/>
      </c>
      <c r="AA234" t="s">
        <v>47</v>
      </c>
      <c r="AB234" t="s">
        <v>48</v>
      </c>
      <c r="AC234" t="s">
        <v>82</v>
      </c>
      <c r="AE234" t="s">
        <v>83</v>
      </c>
      <c r="AF234" t="s">
        <v>51</v>
      </c>
      <c r="AG234">
        <v>4.3600000000000003</v>
      </c>
      <c r="AH234">
        <v>5</v>
      </c>
      <c r="AI234">
        <v>0</v>
      </c>
      <c r="AJ234" t="s">
        <v>535</v>
      </c>
      <c r="AK234">
        <v>0</v>
      </c>
      <c r="AL234">
        <v>16</v>
      </c>
    </row>
    <row r="235" spans="1:38" x14ac:dyDescent="0.25">
      <c r="A235" t="s">
        <v>839</v>
      </c>
      <c r="B235">
        <v>10230</v>
      </c>
      <c r="C235">
        <v>0</v>
      </c>
      <c r="D235">
        <v>2</v>
      </c>
      <c r="E235">
        <v>0</v>
      </c>
      <c r="F235">
        <v>5</v>
      </c>
      <c r="G235">
        <v>5</v>
      </c>
      <c r="H235">
        <v>3</v>
      </c>
      <c r="I235">
        <v>0</v>
      </c>
      <c r="J235">
        <v>64971</v>
      </c>
      <c r="K235">
        <v>1</v>
      </c>
      <c r="L235">
        <v>20</v>
      </c>
      <c r="M235" t="s">
        <v>66</v>
      </c>
      <c r="N235" t="e" vm="1">
        <v>#VALUE!</v>
      </c>
      <c r="O235">
        <v>1902</v>
      </c>
      <c r="P235" t="s">
        <v>840</v>
      </c>
      <c r="Q235" t="s">
        <v>68</v>
      </c>
      <c r="R235">
        <f t="shared" ca="1" si="9"/>
        <v>42</v>
      </c>
      <c r="S235" t="s">
        <v>79</v>
      </c>
      <c r="T235" t="s">
        <v>155</v>
      </c>
      <c r="U235" t="s">
        <v>44</v>
      </c>
      <c r="V235" t="s">
        <v>106</v>
      </c>
      <c r="W235" t="s">
        <v>604</v>
      </c>
      <c r="X235">
        <f t="shared" ca="1" si="11"/>
        <v>7</v>
      </c>
      <c r="Y235" t="s">
        <v>841</v>
      </c>
      <c r="Z235">
        <f t="shared" ca="1" si="10"/>
        <v>737</v>
      </c>
      <c r="AA235" t="s">
        <v>59</v>
      </c>
      <c r="AB235" t="s">
        <v>48</v>
      </c>
      <c r="AC235" t="s">
        <v>122</v>
      </c>
      <c r="AD235">
        <v>14</v>
      </c>
      <c r="AE235" t="s">
        <v>83</v>
      </c>
      <c r="AF235" t="s">
        <v>63</v>
      </c>
      <c r="AG235">
        <v>4.5</v>
      </c>
      <c r="AH235">
        <v>4</v>
      </c>
      <c r="AI235">
        <v>0</v>
      </c>
      <c r="AJ235" t="s">
        <v>842</v>
      </c>
      <c r="AK235">
        <v>0</v>
      </c>
      <c r="AL235">
        <v>10</v>
      </c>
    </row>
    <row r="236" spans="1:38" x14ac:dyDescent="0.25">
      <c r="A236" t="s">
        <v>843</v>
      </c>
      <c r="B236">
        <v>10224</v>
      </c>
      <c r="C236">
        <v>1</v>
      </c>
      <c r="D236">
        <v>1</v>
      </c>
      <c r="E236">
        <v>1</v>
      </c>
      <c r="F236">
        <v>5</v>
      </c>
      <c r="G236">
        <v>5</v>
      </c>
      <c r="H236">
        <v>3</v>
      </c>
      <c r="I236">
        <v>0</v>
      </c>
      <c r="J236">
        <v>55578</v>
      </c>
      <c r="K236">
        <v>1</v>
      </c>
      <c r="L236">
        <v>20</v>
      </c>
      <c r="M236" t="s">
        <v>66</v>
      </c>
      <c r="N236" t="e" vm="1">
        <v>#VALUE!</v>
      </c>
      <c r="O236">
        <v>2138</v>
      </c>
      <c r="P236" t="s">
        <v>844</v>
      </c>
      <c r="Q236" t="s">
        <v>41</v>
      </c>
      <c r="R236">
        <f t="shared" ca="1" si="9"/>
        <v>50</v>
      </c>
      <c r="S236" t="s">
        <v>56</v>
      </c>
      <c r="T236" t="s">
        <v>43</v>
      </c>
      <c r="U236" t="s">
        <v>44</v>
      </c>
      <c r="V236" t="s">
        <v>45</v>
      </c>
      <c r="W236" t="s">
        <v>46</v>
      </c>
      <c r="X236">
        <f t="shared" ca="1" si="11"/>
        <v>7</v>
      </c>
      <c r="Y236" t="s">
        <v>845</v>
      </c>
      <c r="Z236">
        <f t="shared" ca="1" si="10"/>
        <v>379</v>
      </c>
      <c r="AA236" t="s">
        <v>59</v>
      </c>
      <c r="AB236" t="s">
        <v>48</v>
      </c>
      <c r="AC236" t="s">
        <v>70</v>
      </c>
      <c r="AD236">
        <v>20</v>
      </c>
      <c r="AE236" t="s">
        <v>62</v>
      </c>
      <c r="AF236" t="s">
        <v>63</v>
      </c>
      <c r="AG236">
        <v>4.2</v>
      </c>
      <c r="AH236">
        <v>5</v>
      </c>
      <c r="AI236">
        <v>0</v>
      </c>
      <c r="AJ236" t="s">
        <v>846</v>
      </c>
      <c r="AK236">
        <v>0</v>
      </c>
      <c r="AL236">
        <v>13</v>
      </c>
    </row>
    <row r="237" spans="1:38" x14ac:dyDescent="0.25">
      <c r="A237" t="s">
        <v>847</v>
      </c>
      <c r="B237">
        <v>10047</v>
      </c>
      <c r="C237">
        <v>1</v>
      </c>
      <c r="D237">
        <v>1</v>
      </c>
      <c r="E237">
        <v>1</v>
      </c>
      <c r="F237">
        <v>5</v>
      </c>
      <c r="G237">
        <v>5</v>
      </c>
      <c r="H237">
        <v>3</v>
      </c>
      <c r="I237">
        <v>0</v>
      </c>
      <c r="J237">
        <v>50428</v>
      </c>
      <c r="K237">
        <v>1</v>
      </c>
      <c r="L237">
        <v>19</v>
      </c>
      <c r="M237" t="s">
        <v>39</v>
      </c>
      <c r="N237" t="e" vm="1">
        <v>#VALUE!</v>
      </c>
      <c r="O237">
        <v>1420</v>
      </c>
      <c r="P237" t="s">
        <v>848</v>
      </c>
      <c r="Q237" t="s">
        <v>41</v>
      </c>
      <c r="R237">
        <f t="shared" ca="1" si="9"/>
        <v>48</v>
      </c>
      <c r="S237" t="s">
        <v>56</v>
      </c>
      <c r="T237" t="s">
        <v>43</v>
      </c>
      <c r="U237" t="s">
        <v>44</v>
      </c>
      <c r="V237" t="s">
        <v>106</v>
      </c>
      <c r="W237" t="s">
        <v>120</v>
      </c>
      <c r="X237">
        <f t="shared" ca="1" si="11"/>
        <v>8</v>
      </c>
      <c r="Y237" t="s">
        <v>849</v>
      </c>
      <c r="Z237">
        <f t="shared" ca="1" si="10"/>
        <v>536</v>
      </c>
      <c r="AA237" t="s">
        <v>59</v>
      </c>
      <c r="AB237" t="s">
        <v>48</v>
      </c>
      <c r="AC237" t="s">
        <v>88</v>
      </c>
      <c r="AD237">
        <v>11</v>
      </c>
      <c r="AE237" t="s">
        <v>62</v>
      </c>
      <c r="AF237" t="s">
        <v>63</v>
      </c>
      <c r="AG237">
        <v>5</v>
      </c>
      <c r="AH237">
        <v>3</v>
      </c>
      <c r="AI237">
        <v>0</v>
      </c>
      <c r="AJ237" t="s">
        <v>850</v>
      </c>
      <c r="AK237">
        <v>0</v>
      </c>
      <c r="AL237">
        <v>11</v>
      </c>
    </row>
    <row r="238" spans="1:38" x14ac:dyDescent="0.25">
      <c r="A238" t="s">
        <v>851</v>
      </c>
      <c r="B238">
        <v>10285</v>
      </c>
      <c r="C238">
        <v>1</v>
      </c>
      <c r="D238">
        <v>1</v>
      </c>
      <c r="E238">
        <v>0</v>
      </c>
      <c r="F238">
        <v>4</v>
      </c>
      <c r="G238">
        <v>5</v>
      </c>
      <c r="H238">
        <v>2</v>
      </c>
      <c r="I238">
        <v>0</v>
      </c>
      <c r="J238">
        <v>61422</v>
      </c>
      <c r="K238">
        <v>1</v>
      </c>
      <c r="L238">
        <v>19</v>
      </c>
      <c r="M238" t="s">
        <v>39</v>
      </c>
      <c r="N238" t="e" vm="1">
        <v>#VALUE!</v>
      </c>
      <c r="O238">
        <v>1460</v>
      </c>
      <c r="P238" t="s">
        <v>852</v>
      </c>
      <c r="Q238" t="s">
        <v>68</v>
      </c>
      <c r="R238">
        <f t="shared" ca="1" si="9"/>
        <v>37</v>
      </c>
      <c r="S238" t="s">
        <v>56</v>
      </c>
      <c r="T238" t="s">
        <v>43</v>
      </c>
      <c r="U238" t="s">
        <v>44</v>
      </c>
      <c r="V238" t="s">
        <v>45</v>
      </c>
      <c r="W238" t="s">
        <v>120</v>
      </c>
      <c r="X238">
        <f t="shared" ca="1" si="11"/>
        <v>8</v>
      </c>
      <c r="Y238" t="s">
        <v>853</v>
      </c>
      <c r="Z238">
        <f t="shared" ca="1" si="10"/>
        <v>108</v>
      </c>
      <c r="AA238" t="s">
        <v>59</v>
      </c>
      <c r="AB238" t="s">
        <v>48</v>
      </c>
      <c r="AC238" t="s">
        <v>101</v>
      </c>
      <c r="AD238">
        <v>19</v>
      </c>
      <c r="AE238" t="s">
        <v>62</v>
      </c>
      <c r="AF238" t="s">
        <v>180</v>
      </c>
      <c r="AG238">
        <v>3.6</v>
      </c>
      <c r="AH238">
        <v>3</v>
      </c>
      <c r="AI238">
        <v>0</v>
      </c>
      <c r="AJ238" t="s">
        <v>854</v>
      </c>
      <c r="AK238">
        <v>4</v>
      </c>
      <c r="AL238">
        <v>16</v>
      </c>
    </row>
    <row r="239" spans="1:38" x14ac:dyDescent="0.25">
      <c r="A239" t="s">
        <v>855</v>
      </c>
      <c r="B239">
        <v>10020</v>
      </c>
      <c r="C239">
        <v>0</v>
      </c>
      <c r="D239">
        <v>4</v>
      </c>
      <c r="E239">
        <v>1</v>
      </c>
      <c r="F239">
        <v>1</v>
      </c>
      <c r="G239">
        <v>5</v>
      </c>
      <c r="H239">
        <v>4</v>
      </c>
      <c r="I239">
        <v>0</v>
      </c>
      <c r="J239">
        <v>63353</v>
      </c>
      <c r="K239">
        <v>0</v>
      </c>
      <c r="L239">
        <v>19</v>
      </c>
      <c r="M239" t="s">
        <v>39</v>
      </c>
      <c r="N239" t="e" vm="1">
        <v>#VALUE!</v>
      </c>
      <c r="O239">
        <v>1730</v>
      </c>
      <c r="P239" t="s">
        <v>856</v>
      </c>
      <c r="Q239" t="s">
        <v>41</v>
      </c>
      <c r="R239">
        <f t="shared" ca="1" si="9"/>
        <v>32</v>
      </c>
      <c r="S239" t="s">
        <v>99</v>
      </c>
      <c r="T239" t="s">
        <v>43</v>
      </c>
      <c r="U239" t="s">
        <v>44</v>
      </c>
      <c r="V239" t="s">
        <v>45</v>
      </c>
      <c r="W239" t="s">
        <v>166</v>
      </c>
      <c r="X239">
        <f t="shared" ca="1" si="11"/>
        <v>5</v>
      </c>
      <c r="Z239" t="str">
        <f t="shared" ca="1" si="10"/>
        <v/>
      </c>
      <c r="AA239" t="s">
        <v>47</v>
      </c>
      <c r="AB239" t="s">
        <v>48</v>
      </c>
      <c r="AC239" t="s">
        <v>108</v>
      </c>
      <c r="AD239">
        <v>12</v>
      </c>
      <c r="AE239" t="s">
        <v>102</v>
      </c>
      <c r="AF239" t="s">
        <v>51</v>
      </c>
      <c r="AG239">
        <v>3.6</v>
      </c>
      <c r="AH239">
        <v>5</v>
      </c>
      <c r="AI239">
        <v>0</v>
      </c>
      <c r="AJ239" t="s">
        <v>535</v>
      </c>
      <c r="AK239">
        <v>0</v>
      </c>
      <c r="AL239">
        <v>4</v>
      </c>
    </row>
    <row r="240" spans="1:38" x14ac:dyDescent="0.25">
      <c r="A240" t="s">
        <v>857</v>
      </c>
      <c r="B240">
        <v>10162</v>
      </c>
      <c r="C240">
        <v>1</v>
      </c>
      <c r="D240">
        <v>1</v>
      </c>
      <c r="E240">
        <v>0</v>
      </c>
      <c r="F240">
        <v>1</v>
      </c>
      <c r="G240">
        <v>3</v>
      </c>
      <c r="H240">
        <v>3</v>
      </c>
      <c r="I240">
        <v>0</v>
      </c>
      <c r="J240">
        <v>89883</v>
      </c>
      <c r="K240">
        <v>0</v>
      </c>
      <c r="L240">
        <v>9</v>
      </c>
      <c r="M240" t="s">
        <v>130</v>
      </c>
      <c r="N240" t="e" vm="1">
        <v>#VALUE!</v>
      </c>
      <c r="O240">
        <v>1886</v>
      </c>
      <c r="P240" t="s">
        <v>858</v>
      </c>
      <c r="Q240" t="s">
        <v>68</v>
      </c>
      <c r="R240">
        <f t="shared" ca="1" si="9"/>
        <v>36</v>
      </c>
      <c r="S240" t="s">
        <v>56</v>
      </c>
      <c r="T240" t="s">
        <v>43</v>
      </c>
      <c r="U240" t="s">
        <v>44</v>
      </c>
      <c r="V240" t="s">
        <v>45</v>
      </c>
      <c r="W240" t="s">
        <v>194</v>
      </c>
      <c r="X240">
        <f t="shared" ca="1" si="11"/>
        <v>4</v>
      </c>
      <c r="Z240" t="str">
        <f t="shared" ca="1" si="10"/>
        <v/>
      </c>
      <c r="AA240" t="s">
        <v>47</v>
      </c>
      <c r="AB240" t="s">
        <v>60</v>
      </c>
      <c r="AC240" t="s">
        <v>61</v>
      </c>
      <c r="AD240">
        <v>4</v>
      </c>
      <c r="AE240" t="s">
        <v>102</v>
      </c>
      <c r="AF240" t="s">
        <v>63</v>
      </c>
      <c r="AG240">
        <v>3.69</v>
      </c>
      <c r="AH240">
        <v>5</v>
      </c>
      <c r="AI240">
        <v>6</v>
      </c>
      <c r="AJ240" t="s">
        <v>137</v>
      </c>
      <c r="AK240">
        <v>0</v>
      </c>
      <c r="AL240">
        <v>15</v>
      </c>
    </row>
    <row r="241" spans="1:38" x14ac:dyDescent="0.25">
      <c r="A241" t="s">
        <v>859</v>
      </c>
      <c r="B241">
        <v>10149</v>
      </c>
      <c r="C241">
        <v>0</v>
      </c>
      <c r="D241">
        <v>0</v>
      </c>
      <c r="E241">
        <v>0</v>
      </c>
      <c r="F241">
        <v>5</v>
      </c>
      <c r="G241">
        <v>3</v>
      </c>
      <c r="H241">
        <v>3</v>
      </c>
      <c r="I241">
        <v>0</v>
      </c>
      <c r="J241">
        <v>120000</v>
      </c>
      <c r="K241">
        <v>1</v>
      </c>
      <c r="L241">
        <v>29</v>
      </c>
      <c r="M241" t="s">
        <v>860</v>
      </c>
      <c r="N241" t="e" vm="1">
        <v>#VALUE!</v>
      </c>
      <c r="O241">
        <v>2703</v>
      </c>
      <c r="P241" t="s">
        <v>861</v>
      </c>
      <c r="Q241" t="s">
        <v>68</v>
      </c>
      <c r="R241">
        <f t="shared" ca="1" si="9"/>
        <v>50</v>
      </c>
      <c r="S241" t="s">
        <v>42</v>
      </c>
      <c r="T241" t="s">
        <v>43</v>
      </c>
      <c r="U241" t="s">
        <v>119</v>
      </c>
      <c r="V241" t="s">
        <v>45</v>
      </c>
      <c r="W241" t="s">
        <v>114</v>
      </c>
      <c r="X241">
        <f t="shared" ca="1" si="11"/>
        <v>4</v>
      </c>
      <c r="Y241" t="s">
        <v>862</v>
      </c>
      <c r="Z241">
        <f t="shared" ca="1" si="10"/>
        <v>442</v>
      </c>
      <c r="AA241" t="s">
        <v>59</v>
      </c>
      <c r="AB241" t="s">
        <v>60</v>
      </c>
      <c r="AC241" t="s">
        <v>61</v>
      </c>
      <c r="AD241">
        <v>4</v>
      </c>
      <c r="AE241" t="s">
        <v>50</v>
      </c>
      <c r="AF241" t="s">
        <v>63</v>
      </c>
      <c r="AG241">
        <v>3.88</v>
      </c>
      <c r="AH241">
        <v>3</v>
      </c>
      <c r="AI241">
        <v>7</v>
      </c>
      <c r="AJ241" t="s">
        <v>863</v>
      </c>
      <c r="AK241">
        <v>0</v>
      </c>
      <c r="AL241">
        <v>12</v>
      </c>
    </row>
    <row r="242" spans="1:38" x14ac:dyDescent="0.25">
      <c r="A242" t="s">
        <v>864</v>
      </c>
      <c r="B242">
        <v>10086</v>
      </c>
      <c r="C242">
        <v>0</v>
      </c>
      <c r="D242">
        <v>0</v>
      </c>
      <c r="E242">
        <v>0</v>
      </c>
      <c r="F242">
        <v>1</v>
      </c>
      <c r="G242">
        <v>3</v>
      </c>
      <c r="H242">
        <v>3</v>
      </c>
      <c r="I242">
        <v>0</v>
      </c>
      <c r="J242">
        <v>150290</v>
      </c>
      <c r="K242">
        <v>0</v>
      </c>
      <c r="L242">
        <v>7</v>
      </c>
      <c r="M242" t="s">
        <v>865</v>
      </c>
      <c r="N242" t="e" vm="1">
        <v>#VALUE!</v>
      </c>
      <c r="O242">
        <v>2056</v>
      </c>
      <c r="P242" t="s">
        <v>866</v>
      </c>
      <c r="Q242" t="s">
        <v>68</v>
      </c>
      <c r="R242">
        <f t="shared" ca="1" si="9"/>
        <v>46</v>
      </c>
      <c r="S242" t="s">
        <v>42</v>
      </c>
      <c r="T242" t="s">
        <v>43</v>
      </c>
      <c r="U242" t="s">
        <v>44</v>
      </c>
      <c r="V242" t="s">
        <v>106</v>
      </c>
      <c r="W242" t="s">
        <v>867</v>
      </c>
      <c r="X242">
        <f t="shared" ca="1" si="11"/>
        <v>2</v>
      </c>
      <c r="Z242" t="str">
        <f t="shared" ca="1" si="10"/>
        <v/>
      </c>
      <c r="AA242" t="s">
        <v>47</v>
      </c>
      <c r="AB242" t="s">
        <v>60</v>
      </c>
      <c r="AC242" t="s">
        <v>362</v>
      </c>
      <c r="AD242">
        <v>13</v>
      </c>
      <c r="AE242" t="s">
        <v>62</v>
      </c>
      <c r="AF242" t="s">
        <v>63</v>
      </c>
      <c r="AG242">
        <v>4.9400000000000004</v>
      </c>
      <c r="AH242">
        <v>3</v>
      </c>
      <c r="AI242">
        <v>5</v>
      </c>
      <c r="AJ242" t="s">
        <v>612</v>
      </c>
      <c r="AK242">
        <v>0</v>
      </c>
      <c r="AL242">
        <v>17</v>
      </c>
    </row>
    <row r="243" spans="1:38" x14ac:dyDescent="0.25">
      <c r="A243" t="s">
        <v>868</v>
      </c>
      <c r="B243">
        <v>10054</v>
      </c>
      <c r="C243">
        <v>0</v>
      </c>
      <c r="D243">
        <v>3</v>
      </c>
      <c r="E243">
        <v>0</v>
      </c>
      <c r="F243">
        <v>1</v>
      </c>
      <c r="G243">
        <v>5</v>
      </c>
      <c r="H243">
        <v>3</v>
      </c>
      <c r="I243">
        <v>0</v>
      </c>
      <c r="J243">
        <v>60627</v>
      </c>
      <c r="K243">
        <v>0</v>
      </c>
      <c r="L243">
        <v>19</v>
      </c>
      <c r="M243" t="s">
        <v>39</v>
      </c>
      <c r="N243" t="e" vm="1">
        <v>#VALUE!</v>
      </c>
      <c r="O243">
        <v>1886</v>
      </c>
      <c r="P243" t="s">
        <v>869</v>
      </c>
      <c r="Q243" t="s">
        <v>68</v>
      </c>
      <c r="R243">
        <f t="shared" ca="1" si="9"/>
        <v>48</v>
      </c>
      <c r="S243" t="s">
        <v>218</v>
      </c>
      <c r="T243" t="s">
        <v>43</v>
      </c>
      <c r="U243" t="s">
        <v>44</v>
      </c>
      <c r="V243" t="s">
        <v>45</v>
      </c>
      <c r="W243" t="s">
        <v>579</v>
      </c>
      <c r="X243">
        <f t="shared" ca="1" si="11"/>
        <v>5</v>
      </c>
      <c r="Z243" t="str">
        <f t="shared" ca="1" si="10"/>
        <v/>
      </c>
      <c r="AA243" t="s">
        <v>47</v>
      </c>
      <c r="AB243" t="s">
        <v>48</v>
      </c>
      <c r="AC243" t="s">
        <v>122</v>
      </c>
      <c r="AD243">
        <v>14</v>
      </c>
      <c r="AE243" t="s">
        <v>368</v>
      </c>
      <c r="AF243" t="s">
        <v>63</v>
      </c>
      <c r="AG243">
        <v>5</v>
      </c>
      <c r="AH243">
        <v>4</v>
      </c>
      <c r="AI243">
        <v>0</v>
      </c>
      <c r="AJ243" t="s">
        <v>342</v>
      </c>
      <c r="AK243">
        <v>0</v>
      </c>
      <c r="AL243">
        <v>8</v>
      </c>
    </row>
    <row r="244" spans="1:38" x14ac:dyDescent="0.25">
      <c r="A244" t="s">
        <v>870</v>
      </c>
      <c r="B244">
        <v>10065</v>
      </c>
      <c r="C244">
        <v>0</v>
      </c>
      <c r="D244">
        <v>0</v>
      </c>
      <c r="E244">
        <v>1</v>
      </c>
      <c r="F244">
        <v>5</v>
      </c>
      <c r="G244">
        <v>5</v>
      </c>
      <c r="H244">
        <v>3</v>
      </c>
      <c r="I244">
        <v>0</v>
      </c>
      <c r="J244">
        <v>53180</v>
      </c>
      <c r="K244">
        <v>1</v>
      </c>
      <c r="L244">
        <v>19</v>
      </c>
      <c r="M244" t="s">
        <v>39</v>
      </c>
      <c r="N244" t="e" vm="1">
        <v>#VALUE!</v>
      </c>
      <c r="O244">
        <v>2155</v>
      </c>
      <c r="P244" t="s">
        <v>871</v>
      </c>
      <c r="Q244" t="s">
        <v>41</v>
      </c>
      <c r="R244">
        <f t="shared" ca="1" si="9"/>
        <v>34</v>
      </c>
      <c r="S244" t="s">
        <v>42</v>
      </c>
      <c r="T244" t="s">
        <v>43</v>
      </c>
      <c r="U244" t="s">
        <v>44</v>
      </c>
      <c r="V244" t="s">
        <v>45</v>
      </c>
      <c r="W244" t="s">
        <v>156</v>
      </c>
      <c r="X244">
        <f t="shared" ca="1" si="11"/>
        <v>7</v>
      </c>
      <c r="Y244" t="s">
        <v>552</v>
      </c>
      <c r="Z244">
        <f t="shared" ca="1" si="10"/>
        <v>603</v>
      </c>
      <c r="AA244" t="s">
        <v>59</v>
      </c>
      <c r="AB244" t="s">
        <v>48</v>
      </c>
      <c r="AC244" t="s">
        <v>70</v>
      </c>
      <c r="AD244">
        <v>20</v>
      </c>
      <c r="AE244" t="s">
        <v>83</v>
      </c>
      <c r="AF244" t="s">
        <v>63</v>
      </c>
      <c r="AG244">
        <v>5</v>
      </c>
      <c r="AH244">
        <v>5</v>
      </c>
      <c r="AI244">
        <v>0</v>
      </c>
      <c r="AJ244" t="s">
        <v>872</v>
      </c>
      <c r="AK244">
        <v>0</v>
      </c>
      <c r="AL244">
        <v>4</v>
      </c>
    </row>
    <row r="245" spans="1:38" x14ac:dyDescent="0.25">
      <c r="A245" t="s">
        <v>873</v>
      </c>
      <c r="B245">
        <v>10198</v>
      </c>
      <c r="C245">
        <v>0</v>
      </c>
      <c r="D245">
        <v>0</v>
      </c>
      <c r="E245">
        <v>1</v>
      </c>
      <c r="F245">
        <v>1</v>
      </c>
      <c r="G245">
        <v>3</v>
      </c>
      <c r="H245">
        <v>3</v>
      </c>
      <c r="I245">
        <v>0</v>
      </c>
      <c r="J245">
        <v>140920</v>
      </c>
      <c r="K245">
        <v>0</v>
      </c>
      <c r="L245">
        <v>13</v>
      </c>
      <c r="M245" t="s">
        <v>874</v>
      </c>
      <c r="N245" t="e" vm="1">
        <v>#VALUE!</v>
      </c>
      <c r="O245">
        <v>2481</v>
      </c>
      <c r="P245" t="s">
        <v>875</v>
      </c>
      <c r="Q245" t="s">
        <v>41</v>
      </c>
      <c r="R245">
        <f t="shared" ca="1" si="9"/>
        <v>45</v>
      </c>
      <c r="S245" t="s">
        <v>42</v>
      </c>
      <c r="T245" t="s">
        <v>43</v>
      </c>
      <c r="U245" t="s">
        <v>44</v>
      </c>
      <c r="V245" t="s">
        <v>45</v>
      </c>
      <c r="W245" t="s">
        <v>876</v>
      </c>
      <c r="X245">
        <f t="shared" ca="1" si="11"/>
        <v>6</v>
      </c>
      <c r="Z245" t="str">
        <f t="shared" ca="1" si="10"/>
        <v/>
      </c>
      <c r="AA245" t="s">
        <v>47</v>
      </c>
      <c r="AB245" t="s">
        <v>60</v>
      </c>
      <c r="AC245" t="s">
        <v>238</v>
      </c>
      <c r="AD245">
        <v>5</v>
      </c>
      <c r="AE245" t="s">
        <v>62</v>
      </c>
      <c r="AF245" t="s">
        <v>63</v>
      </c>
      <c r="AG245">
        <v>3.6</v>
      </c>
      <c r="AH245">
        <v>5</v>
      </c>
      <c r="AI245">
        <v>7</v>
      </c>
      <c r="AJ245" t="s">
        <v>116</v>
      </c>
      <c r="AK245">
        <v>0</v>
      </c>
      <c r="AL245">
        <v>13</v>
      </c>
    </row>
    <row r="246" spans="1:38" x14ac:dyDescent="0.25">
      <c r="A246" t="s">
        <v>877</v>
      </c>
      <c r="B246">
        <v>10222</v>
      </c>
      <c r="C246">
        <v>0</v>
      </c>
      <c r="D246">
        <v>2</v>
      </c>
      <c r="E246">
        <v>1</v>
      </c>
      <c r="F246">
        <v>5</v>
      </c>
      <c r="G246">
        <v>3</v>
      </c>
      <c r="H246">
        <v>3</v>
      </c>
      <c r="I246">
        <v>1</v>
      </c>
      <c r="J246">
        <v>148999</v>
      </c>
      <c r="K246">
        <v>1</v>
      </c>
      <c r="L246">
        <v>13</v>
      </c>
      <c r="M246" t="s">
        <v>874</v>
      </c>
      <c r="N246" t="e" vm="1">
        <v>#VALUE!</v>
      </c>
      <c r="O246">
        <v>1915</v>
      </c>
      <c r="P246" t="s">
        <v>878</v>
      </c>
      <c r="Q246" t="s">
        <v>41</v>
      </c>
      <c r="R246">
        <f t="shared" ca="1" si="9"/>
        <v>58</v>
      </c>
      <c r="S246" t="s">
        <v>79</v>
      </c>
      <c r="T246" t="s">
        <v>43</v>
      </c>
      <c r="U246" t="s">
        <v>44</v>
      </c>
      <c r="V246" t="s">
        <v>106</v>
      </c>
      <c r="W246" t="s">
        <v>87</v>
      </c>
      <c r="X246">
        <f t="shared" ca="1" si="11"/>
        <v>7</v>
      </c>
      <c r="Y246" t="s">
        <v>879</v>
      </c>
      <c r="Z246">
        <f t="shared" ca="1" si="10"/>
        <v>107</v>
      </c>
      <c r="AA246" t="s">
        <v>59</v>
      </c>
      <c r="AB246" t="s">
        <v>60</v>
      </c>
      <c r="AC246" t="s">
        <v>238</v>
      </c>
      <c r="AD246">
        <v>5</v>
      </c>
      <c r="AE246" t="s">
        <v>109</v>
      </c>
      <c r="AF246" t="s">
        <v>63</v>
      </c>
      <c r="AG246">
        <v>4.3</v>
      </c>
      <c r="AH246">
        <v>4</v>
      </c>
      <c r="AI246">
        <v>6</v>
      </c>
      <c r="AJ246" t="s">
        <v>880</v>
      </c>
      <c r="AK246">
        <v>0</v>
      </c>
      <c r="AL246">
        <v>8</v>
      </c>
    </row>
    <row r="247" spans="1:38" x14ac:dyDescent="0.25">
      <c r="A247" t="s">
        <v>881</v>
      </c>
      <c r="B247">
        <v>10126</v>
      </c>
      <c r="C247">
        <v>1</v>
      </c>
      <c r="D247">
        <v>1</v>
      </c>
      <c r="E247">
        <v>0</v>
      </c>
      <c r="F247">
        <v>1</v>
      </c>
      <c r="G247">
        <v>4</v>
      </c>
      <c r="H247">
        <v>3</v>
      </c>
      <c r="I247">
        <v>0</v>
      </c>
      <c r="J247">
        <v>86214</v>
      </c>
      <c r="K247">
        <v>0</v>
      </c>
      <c r="L247">
        <v>24</v>
      </c>
      <c r="M247" t="s">
        <v>91</v>
      </c>
      <c r="N247" t="e" vm="1">
        <v>#VALUE!</v>
      </c>
      <c r="O247">
        <v>2132</v>
      </c>
      <c r="P247" t="s">
        <v>882</v>
      </c>
      <c r="Q247" t="s">
        <v>68</v>
      </c>
      <c r="R247">
        <f t="shared" ca="1" si="9"/>
        <v>38</v>
      </c>
      <c r="S247" t="s">
        <v>56</v>
      </c>
      <c r="T247" t="s">
        <v>43</v>
      </c>
      <c r="U247" t="s">
        <v>44</v>
      </c>
      <c r="V247" t="s">
        <v>45</v>
      </c>
      <c r="W247" t="s">
        <v>572</v>
      </c>
      <c r="X247">
        <f t="shared" ca="1" si="11"/>
        <v>6</v>
      </c>
      <c r="Z247" t="str">
        <f t="shared" ca="1" si="10"/>
        <v/>
      </c>
      <c r="AA247" t="s">
        <v>47</v>
      </c>
      <c r="AB247" t="s">
        <v>94</v>
      </c>
      <c r="AC247" t="s">
        <v>95</v>
      </c>
      <c r="AD247">
        <v>10</v>
      </c>
      <c r="AE247" t="s">
        <v>62</v>
      </c>
      <c r="AF247" t="s">
        <v>63</v>
      </c>
      <c r="AG247">
        <v>4.2</v>
      </c>
      <c r="AH247">
        <v>3</v>
      </c>
      <c r="AI247">
        <v>6</v>
      </c>
      <c r="AJ247" t="s">
        <v>398</v>
      </c>
      <c r="AK247">
        <v>0</v>
      </c>
      <c r="AL247">
        <v>2</v>
      </c>
    </row>
    <row r="248" spans="1:38" x14ac:dyDescent="0.25">
      <c r="A248" t="s">
        <v>883</v>
      </c>
      <c r="B248">
        <v>10295</v>
      </c>
      <c r="C248">
        <v>0</v>
      </c>
      <c r="D248">
        <v>0</v>
      </c>
      <c r="E248">
        <v>0</v>
      </c>
      <c r="F248">
        <v>2</v>
      </c>
      <c r="G248">
        <v>5</v>
      </c>
      <c r="H248">
        <v>2</v>
      </c>
      <c r="I248">
        <v>1</v>
      </c>
      <c r="J248">
        <v>47750</v>
      </c>
      <c r="K248">
        <v>0</v>
      </c>
      <c r="L248">
        <v>19</v>
      </c>
      <c r="M248" t="s">
        <v>39</v>
      </c>
      <c r="N248" t="e" vm="1">
        <v>#VALUE!</v>
      </c>
      <c r="O248">
        <v>1801</v>
      </c>
      <c r="P248" t="s">
        <v>884</v>
      </c>
      <c r="Q248" t="s">
        <v>68</v>
      </c>
      <c r="R248">
        <f t="shared" ca="1" si="9"/>
        <v>50</v>
      </c>
      <c r="S248" t="s">
        <v>42</v>
      </c>
      <c r="T248" t="s">
        <v>43</v>
      </c>
      <c r="U248" t="s">
        <v>44</v>
      </c>
      <c r="V248" t="s">
        <v>106</v>
      </c>
      <c r="W248" t="s">
        <v>885</v>
      </c>
      <c r="X248">
        <f t="shared" ca="1" si="11"/>
        <v>2</v>
      </c>
      <c r="Z248" t="str">
        <f t="shared" ca="1" si="10"/>
        <v/>
      </c>
      <c r="AA248" t="s">
        <v>47</v>
      </c>
      <c r="AB248" t="s">
        <v>48</v>
      </c>
      <c r="AC248" t="s">
        <v>136</v>
      </c>
      <c r="AD248">
        <v>18</v>
      </c>
      <c r="AE248" t="s">
        <v>109</v>
      </c>
      <c r="AF248" t="s">
        <v>180</v>
      </c>
      <c r="AG248">
        <v>2.6</v>
      </c>
      <c r="AH248">
        <v>4</v>
      </c>
      <c r="AI248">
        <v>0</v>
      </c>
      <c r="AJ248" t="s">
        <v>116</v>
      </c>
      <c r="AK248">
        <v>5</v>
      </c>
      <c r="AL248">
        <v>4</v>
      </c>
    </row>
    <row r="249" spans="1:38" x14ac:dyDescent="0.25">
      <c r="A249" t="s">
        <v>886</v>
      </c>
      <c r="B249">
        <v>10260</v>
      </c>
      <c r="C249">
        <v>0</v>
      </c>
      <c r="D249">
        <v>0</v>
      </c>
      <c r="E249">
        <v>1</v>
      </c>
      <c r="F249">
        <v>5</v>
      </c>
      <c r="G249">
        <v>5</v>
      </c>
      <c r="H249">
        <v>3</v>
      </c>
      <c r="I249">
        <v>0</v>
      </c>
      <c r="J249">
        <v>46428</v>
      </c>
      <c r="K249">
        <v>1</v>
      </c>
      <c r="L249">
        <v>19</v>
      </c>
      <c r="M249" t="s">
        <v>39</v>
      </c>
      <c r="N249" t="e" vm="1">
        <v>#VALUE!</v>
      </c>
      <c r="O249">
        <v>2148</v>
      </c>
      <c r="P249" t="s">
        <v>887</v>
      </c>
      <c r="Q249" t="s">
        <v>41</v>
      </c>
      <c r="R249">
        <f t="shared" ca="1" si="9"/>
        <v>42</v>
      </c>
      <c r="S249" t="s">
        <v>42</v>
      </c>
      <c r="T249" t="s">
        <v>43</v>
      </c>
      <c r="U249" t="s">
        <v>44</v>
      </c>
      <c r="V249" t="s">
        <v>45</v>
      </c>
      <c r="W249" t="s">
        <v>312</v>
      </c>
      <c r="X249">
        <f t="shared" ca="1" si="11"/>
        <v>10</v>
      </c>
      <c r="Y249" t="s">
        <v>167</v>
      </c>
      <c r="Z249" t="str">
        <f t="shared" ca="1" si="10"/>
        <v/>
      </c>
      <c r="AA249" t="s">
        <v>59</v>
      </c>
      <c r="AB249" t="s">
        <v>48</v>
      </c>
      <c r="AC249" t="s">
        <v>49</v>
      </c>
      <c r="AD249">
        <v>22</v>
      </c>
      <c r="AE249" t="s">
        <v>83</v>
      </c>
      <c r="AF249" t="s">
        <v>63</v>
      </c>
      <c r="AG249">
        <v>4.5999999999999996</v>
      </c>
      <c r="AH249">
        <v>5</v>
      </c>
      <c r="AI249">
        <v>0</v>
      </c>
      <c r="AJ249" t="s">
        <v>888</v>
      </c>
      <c r="AK249">
        <v>0</v>
      </c>
      <c r="AL249">
        <v>7</v>
      </c>
    </row>
    <row r="250" spans="1:38" x14ac:dyDescent="0.25">
      <c r="A250" t="s">
        <v>889</v>
      </c>
      <c r="B250">
        <v>10233</v>
      </c>
      <c r="C250">
        <v>1</v>
      </c>
      <c r="D250">
        <v>1</v>
      </c>
      <c r="E250">
        <v>1</v>
      </c>
      <c r="F250">
        <v>1</v>
      </c>
      <c r="G250">
        <v>5</v>
      </c>
      <c r="H250">
        <v>3</v>
      </c>
      <c r="I250">
        <v>0</v>
      </c>
      <c r="J250">
        <v>57975</v>
      </c>
      <c r="K250">
        <v>0</v>
      </c>
      <c r="L250">
        <v>20</v>
      </c>
      <c r="M250" t="s">
        <v>66</v>
      </c>
      <c r="N250" t="e" vm="1">
        <v>#VALUE!</v>
      </c>
      <c r="O250">
        <v>2062</v>
      </c>
      <c r="P250" t="s">
        <v>890</v>
      </c>
      <c r="Q250" t="s">
        <v>41</v>
      </c>
      <c r="R250">
        <f t="shared" ca="1" si="9"/>
        <v>38</v>
      </c>
      <c r="S250" t="s">
        <v>56</v>
      </c>
      <c r="T250" t="s">
        <v>43</v>
      </c>
      <c r="U250" t="s">
        <v>44</v>
      </c>
      <c r="V250" t="s">
        <v>45</v>
      </c>
      <c r="W250" t="s">
        <v>293</v>
      </c>
      <c r="X250">
        <f t="shared" ca="1" si="11"/>
        <v>8</v>
      </c>
      <c r="Z250" t="str">
        <f t="shared" ca="1" si="10"/>
        <v/>
      </c>
      <c r="AA250" t="s">
        <v>47</v>
      </c>
      <c r="AB250" t="s">
        <v>48</v>
      </c>
      <c r="AC250" t="s">
        <v>136</v>
      </c>
      <c r="AD250">
        <v>18</v>
      </c>
      <c r="AE250" t="s">
        <v>179</v>
      </c>
      <c r="AF250" t="s">
        <v>63</v>
      </c>
      <c r="AG250">
        <v>4.0999999999999996</v>
      </c>
      <c r="AH250">
        <v>3</v>
      </c>
      <c r="AI250">
        <v>0</v>
      </c>
      <c r="AJ250" t="s">
        <v>173</v>
      </c>
      <c r="AK250">
        <v>0</v>
      </c>
      <c r="AL250">
        <v>13</v>
      </c>
    </row>
    <row r="251" spans="1:38" x14ac:dyDescent="0.25">
      <c r="A251" t="s">
        <v>891</v>
      </c>
      <c r="B251">
        <v>10229</v>
      </c>
      <c r="C251">
        <v>0</v>
      </c>
      <c r="D251">
        <v>2</v>
      </c>
      <c r="E251">
        <v>1</v>
      </c>
      <c r="F251">
        <v>5</v>
      </c>
      <c r="G251">
        <v>3</v>
      </c>
      <c r="H251">
        <v>3</v>
      </c>
      <c r="I251">
        <v>0</v>
      </c>
      <c r="J251">
        <v>88527</v>
      </c>
      <c r="K251">
        <v>1</v>
      </c>
      <c r="L251">
        <v>9</v>
      </c>
      <c r="M251" t="s">
        <v>892</v>
      </c>
      <c r="N251" t="e" vm="1">
        <v>#VALUE!</v>
      </c>
      <c r="O251">
        <v>2452</v>
      </c>
      <c r="P251" t="s">
        <v>893</v>
      </c>
      <c r="Q251" t="s">
        <v>41</v>
      </c>
      <c r="R251">
        <f t="shared" ca="1" si="9"/>
        <v>37</v>
      </c>
      <c r="S251" t="s">
        <v>79</v>
      </c>
      <c r="T251" t="s">
        <v>43</v>
      </c>
      <c r="U251" t="s">
        <v>44</v>
      </c>
      <c r="V251" t="s">
        <v>106</v>
      </c>
      <c r="W251" t="s">
        <v>114</v>
      </c>
      <c r="X251">
        <f t="shared" ca="1" si="11"/>
        <v>4</v>
      </c>
      <c r="Y251" t="s">
        <v>894</v>
      </c>
      <c r="Z251">
        <f t="shared" ca="1" si="10"/>
        <v>39</v>
      </c>
      <c r="AA251" t="s">
        <v>59</v>
      </c>
      <c r="AB251" t="s">
        <v>60</v>
      </c>
      <c r="AC251" t="s">
        <v>61</v>
      </c>
      <c r="AD251">
        <v>4</v>
      </c>
      <c r="AE251" t="s">
        <v>50</v>
      </c>
      <c r="AF251" t="s">
        <v>63</v>
      </c>
      <c r="AG251">
        <v>4.2</v>
      </c>
      <c r="AH251">
        <v>3</v>
      </c>
      <c r="AI251">
        <v>5</v>
      </c>
      <c r="AJ251" t="s">
        <v>895</v>
      </c>
      <c r="AK251">
        <v>0</v>
      </c>
      <c r="AL251">
        <v>2</v>
      </c>
    </row>
    <row r="252" spans="1:38" x14ac:dyDescent="0.25">
      <c r="A252" t="s">
        <v>896</v>
      </c>
      <c r="B252">
        <v>10169</v>
      </c>
      <c r="C252">
        <v>1</v>
      </c>
      <c r="D252">
        <v>1</v>
      </c>
      <c r="E252">
        <v>0</v>
      </c>
      <c r="F252">
        <v>1</v>
      </c>
      <c r="G252">
        <v>5</v>
      </c>
      <c r="H252">
        <v>3</v>
      </c>
      <c r="I252">
        <v>0</v>
      </c>
      <c r="J252">
        <v>56147</v>
      </c>
      <c r="K252">
        <v>0</v>
      </c>
      <c r="L252">
        <v>19</v>
      </c>
      <c r="M252" t="s">
        <v>39</v>
      </c>
      <c r="N252" t="e" vm="1">
        <v>#VALUE!</v>
      </c>
      <c r="O252">
        <v>2154</v>
      </c>
      <c r="P252" t="s">
        <v>897</v>
      </c>
      <c r="Q252" t="s">
        <v>68</v>
      </c>
      <c r="R252">
        <f t="shared" ca="1" si="9"/>
        <v>29</v>
      </c>
      <c r="S252" t="s">
        <v>56</v>
      </c>
      <c r="T252" t="s">
        <v>43</v>
      </c>
      <c r="U252" t="s">
        <v>44</v>
      </c>
      <c r="V252" t="s">
        <v>106</v>
      </c>
      <c r="W252" t="s">
        <v>214</v>
      </c>
      <c r="X252">
        <f t="shared" ca="1" si="11"/>
        <v>4</v>
      </c>
      <c r="Z252" t="str">
        <f t="shared" ca="1" si="10"/>
        <v/>
      </c>
      <c r="AA252" t="s">
        <v>47</v>
      </c>
      <c r="AB252" t="s">
        <v>48</v>
      </c>
      <c r="AC252" t="s">
        <v>75</v>
      </c>
      <c r="AD252">
        <v>16</v>
      </c>
      <c r="AE252" t="s">
        <v>50</v>
      </c>
      <c r="AF252" t="s">
        <v>63</v>
      </c>
      <c r="AG252">
        <v>3.51</v>
      </c>
      <c r="AH252">
        <v>3</v>
      </c>
      <c r="AI252">
        <v>0</v>
      </c>
      <c r="AJ252" t="s">
        <v>116</v>
      </c>
      <c r="AK252">
        <v>0</v>
      </c>
      <c r="AL252">
        <v>2</v>
      </c>
    </row>
    <row r="253" spans="1:38" x14ac:dyDescent="0.25">
      <c r="A253" t="s">
        <v>898</v>
      </c>
      <c r="B253">
        <v>10071</v>
      </c>
      <c r="C253">
        <v>0</v>
      </c>
      <c r="D253">
        <v>0</v>
      </c>
      <c r="E253">
        <v>0</v>
      </c>
      <c r="F253">
        <v>3</v>
      </c>
      <c r="G253">
        <v>5</v>
      </c>
      <c r="H253">
        <v>3</v>
      </c>
      <c r="I253">
        <v>0</v>
      </c>
      <c r="J253">
        <v>50923</v>
      </c>
      <c r="K253">
        <v>0</v>
      </c>
      <c r="L253">
        <v>19</v>
      </c>
      <c r="M253" t="s">
        <v>39</v>
      </c>
      <c r="N253" t="e" vm="1">
        <v>#VALUE!</v>
      </c>
      <c r="O253">
        <v>2191</v>
      </c>
      <c r="P253" t="s">
        <v>899</v>
      </c>
      <c r="Q253" t="s">
        <v>68</v>
      </c>
      <c r="R253">
        <f t="shared" ca="1" si="9"/>
        <v>50</v>
      </c>
      <c r="S253" t="s">
        <v>42</v>
      </c>
      <c r="T253" t="s">
        <v>43</v>
      </c>
      <c r="U253" t="s">
        <v>44</v>
      </c>
      <c r="V253" t="s">
        <v>165</v>
      </c>
      <c r="W253" t="s">
        <v>100</v>
      </c>
      <c r="X253">
        <f t="shared" ca="1" si="11"/>
        <v>5</v>
      </c>
      <c r="Z253" t="str">
        <f t="shared" ca="1" si="10"/>
        <v/>
      </c>
      <c r="AA253" t="s">
        <v>47</v>
      </c>
      <c r="AB253" t="s">
        <v>48</v>
      </c>
      <c r="AC253" t="s">
        <v>82</v>
      </c>
      <c r="AE253" t="s">
        <v>83</v>
      </c>
      <c r="AF253" t="s">
        <v>63</v>
      </c>
      <c r="AG253">
        <v>5</v>
      </c>
      <c r="AH253">
        <v>5</v>
      </c>
      <c r="AI253">
        <v>0</v>
      </c>
      <c r="AJ253" t="s">
        <v>612</v>
      </c>
      <c r="AK253">
        <v>0</v>
      </c>
      <c r="AL253">
        <v>14</v>
      </c>
    </row>
    <row r="254" spans="1:38" x14ac:dyDescent="0.25">
      <c r="A254" t="s">
        <v>900</v>
      </c>
      <c r="B254">
        <v>10179</v>
      </c>
      <c r="C254">
        <v>1</v>
      </c>
      <c r="D254">
        <v>1</v>
      </c>
      <c r="E254">
        <v>0</v>
      </c>
      <c r="F254">
        <v>1</v>
      </c>
      <c r="G254">
        <v>3</v>
      </c>
      <c r="H254">
        <v>3</v>
      </c>
      <c r="I254">
        <v>0</v>
      </c>
      <c r="J254">
        <v>50750</v>
      </c>
      <c r="K254">
        <v>0</v>
      </c>
      <c r="L254">
        <v>15</v>
      </c>
      <c r="M254" t="s">
        <v>426</v>
      </c>
      <c r="N254" t="e" vm="1">
        <v>#VALUE!</v>
      </c>
      <c r="O254">
        <v>1773</v>
      </c>
      <c r="P254" t="s">
        <v>901</v>
      </c>
      <c r="Q254" t="s">
        <v>68</v>
      </c>
      <c r="R254">
        <f t="shared" ca="1" si="9"/>
        <v>43</v>
      </c>
      <c r="S254" t="s">
        <v>56</v>
      </c>
      <c r="T254" t="s">
        <v>43</v>
      </c>
      <c r="U254" t="s">
        <v>44</v>
      </c>
      <c r="V254" t="s">
        <v>45</v>
      </c>
      <c r="W254" t="s">
        <v>902</v>
      </c>
      <c r="X254">
        <f t="shared" ca="1" si="11"/>
        <v>4</v>
      </c>
      <c r="Z254" t="str">
        <f t="shared" ca="1" si="10"/>
        <v/>
      </c>
      <c r="AA254" t="s">
        <v>47</v>
      </c>
      <c r="AB254" t="s">
        <v>60</v>
      </c>
      <c r="AC254" t="s">
        <v>115</v>
      </c>
      <c r="AD254">
        <v>7</v>
      </c>
      <c r="AE254" t="s">
        <v>50</v>
      </c>
      <c r="AF254" t="s">
        <v>63</v>
      </c>
      <c r="AG254">
        <v>3.31</v>
      </c>
      <c r="AH254">
        <v>3</v>
      </c>
      <c r="AI254">
        <v>6</v>
      </c>
      <c r="AJ254" t="s">
        <v>89</v>
      </c>
      <c r="AK254">
        <v>0</v>
      </c>
      <c r="AL254">
        <v>7</v>
      </c>
    </row>
    <row r="255" spans="1:38" x14ac:dyDescent="0.25">
      <c r="A255" t="s">
        <v>903</v>
      </c>
      <c r="B255">
        <v>10091</v>
      </c>
      <c r="C255">
        <v>1</v>
      </c>
      <c r="D255">
        <v>1</v>
      </c>
      <c r="E255">
        <v>0</v>
      </c>
      <c r="F255">
        <v>1</v>
      </c>
      <c r="G255">
        <v>5</v>
      </c>
      <c r="H255">
        <v>3</v>
      </c>
      <c r="I255">
        <v>0</v>
      </c>
      <c r="J255">
        <v>52087</v>
      </c>
      <c r="K255">
        <v>0</v>
      </c>
      <c r="L255">
        <v>19</v>
      </c>
      <c r="M255" t="s">
        <v>39</v>
      </c>
      <c r="N255" t="e" vm="1">
        <v>#VALUE!</v>
      </c>
      <c r="O255">
        <v>2149</v>
      </c>
      <c r="P255" t="s">
        <v>904</v>
      </c>
      <c r="Q255" t="s">
        <v>68</v>
      </c>
      <c r="R255">
        <f t="shared" ca="1" si="9"/>
        <v>36</v>
      </c>
      <c r="S255" t="s">
        <v>56</v>
      </c>
      <c r="T255" t="s">
        <v>43</v>
      </c>
      <c r="U255" t="s">
        <v>44</v>
      </c>
      <c r="V255" t="s">
        <v>45</v>
      </c>
      <c r="W255" t="s">
        <v>172</v>
      </c>
      <c r="X255">
        <f t="shared" ca="1" si="11"/>
        <v>5</v>
      </c>
      <c r="Z255" t="str">
        <f t="shared" ca="1" si="10"/>
        <v/>
      </c>
      <c r="AA255" t="s">
        <v>47</v>
      </c>
      <c r="AB255" t="s">
        <v>48</v>
      </c>
      <c r="AC255" t="s">
        <v>88</v>
      </c>
      <c r="AD255">
        <v>11</v>
      </c>
      <c r="AE255" t="s">
        <v>50</v>
      </c>
      <c r="AF255" t="s">
        <v>63</v>
      </c>
      <c r="AG255">
        <v>4.8099999999999996</v>
      </c>
      <c r="AH255">
        <v>4</v>
      </c>
      <c r="AI255">
        <v>0</v>
      </c>
      <c r="AJ255" t="s">
        <v>504</v>
      </c>
      <c r="AK255">
        <v>0</v>
      </c>
      <c r="AL255">
        <v>15</v>
      </c>
    </row>
    <row r="256" spans="1:38" x14ac:dyDescent="0.25">
      <c r="A256" t="s">
        <v>905</v>
      </c>
      <c r="B256">
        <v>10178</v>
      </c>
      <c r="C256">
        <v>1</v>
      </c>
      <c r="D256">
        <v>1</v>
      </c>
      <c r="E256">
        <v>1</v>
      </c>
      <c r="F256">
        <v>1</v>
      </c>
      <c r="G256">
        <v>3</v>
      </c>
      <c r="H256">
        <v>3</v>
      </c>
      <c r="I256">
        <v>0</v>
      </c>
      <c r="J256">
        <v>87826</v>
      </c>
      <c r="K256">
        <v>0</v>
      </c>
      <c r="L256">
        <v>9</v>
      </c>
      <c r="M256" t="s">
        <v>130</v>
      </c>
      <c r="N256" t="e" vm="1">
        <v>#VALUE!</v>
      </c>
      <c r="O256">
        <v>2110</v>
      </c>
      <c r="P256" t="s">
        <v>906</v>
      </c>
      <c r="Q256" t="s">
        <v>41</v>
      </c>
      <c r="R256">
        <f t="shared" ca="1" si="9"/>
        <v>53</v>
      </c>
      <c r="S256" t="s">
        <v>56</v>
      </c>
      <c r="T256" t="s">
        <v>43</v>
      </c>
      <c r="U256" t="s">
        <v>119</v>
      </c>
      <c r="V256" t="s">
        <v>45</v>
      </c>
      <c r="W256" t="s">
        <v>114</v>
      </c>
      <c r="X256">
        <f t="shared" ca="1" si="11"/>
        <v>4</v>
      </c>
      <c r="Z256" t="str">
        <f t="shared" ca="1" si="10"/>
        <v/>
      </c>
      <c r="AA256" t="s">
        <v>47</v>
      </c>
      <c r="AB256" t="s">
        <v>60</v>
      </c>
      <c r="AC256" t="s">
        <v>61</v>
      </c>
      <c r="AD256">
        <v>4</v>
      </c>
      <c r="AE256" t="s">
        <v>102</v>
      </c>
      <c r="AF256" t="s">
        <v>63</v>
      </c>
      <c r="AG256">
        <v>3.32</v>
      </c>
      <c r="AH256">
        <v>3</v>
      </c>
      <c r="AI256">
        <v>7</v>
      </c>
      <c r="AJ256" t="s">
        <v>152</v>
      </c>
      <c r="AK256">
        <v>0</v>
      </c>
      <c r="AL256">
        <v>16</v>
      </c>
    </row>
    <row r="257" spans="1:38" x14ac:dyDescent="0.25">
      <c r="A257" t="s">
        <v>907</v>
      </c>
      <c r="B257">
        <v>10039</v>
      </c>
      <c r="C257">
        <v>0</v>
      </c>
      <c r="D257">
        <v>0</v>
      </c>
      <c r="E257">
        <v>0</v>
      </c>
      <c r="F257">
        <v>1</v>
      </c>
      <c r="G257">
        <v>1</v>
      </c>
      <c r="H257">
        <v>3</v>
      </c>
      <c r="I257">
        <v>0</v>
      </c>
      <c r="J257">
        <v>51920</v>
      </c>
      <c r="K257">
        <v>0</v>
      </c>
      <c r="L257">
        <v>2</v>
      </c>
      <c r="M257" t="s">
        <v>550</v>
      </c>
      <c r="N257" t="e" vm="1">
        <v>#VALUE!</v>
      </c>
      <c r="O257">
        <v>2330</v>
      </c>
      <c r="P257" t="s">
        <v>908</v>
      </c>
      <c r="Q257" t="s">
        <v>68</v>
      </c>
      <c r="R257">
        <f t="shared" ca="1" si="9"/>
        <v>31</v>
      </c>
      <c r="S257" t="s">
        <v>42</v>
      </c>
      <c r="T257" t="s">
        <v>43</v>
      </c>
      <c r="U257" t="s">
        <v>44</v>
      </c>
      <c r="V257" t="s">
        <v>45</v>
      </c>
      <c r="W257" t="s">
        <v>909</v>
      </c>
      <c r="X257">
        <f t="shared" ca="1" si="11"/>
        <v>3</v>
      </c>
      <c r="Z257" t="str">
        <f t="shared" ca="1" si="10"/>
        <v/>
      </c>
      <c r="AA257" t="s">
        <v>47</v>
      </c>
      <c r="AB257" t="s">
        <v>195</v>
      </c>
      <c r="AC257" t="s">
        <v>196</v>
      </c>
      <c r="AD257">
        <v>1</v>
      </c>
      <c r="AE257" t="s">
        <v>368</v>
      </c>
      <c r="AF257" t="s">
        <v>63</v>
      </c>
      <c r="AG257">
        <v>5</v>
      </c>
      <c r="AH257">
        <v>3</v>
      </c>
      <c r="AI257">
        <v>5</v>
      </c>
      <c r="AJ257" t="s">
        <v>211</v>
      </c>
      <c r="AK257">
        <v>0</v>
      </c>
      <c r="AL257">
        <v>2</v>
      </c>
    </row>
    <row r="258" spans="1:38" x14ac:dyDescent="0.25">
      <c r="A258" t="s">
        <v>910</v>
      </c>
      <c r="B258">
        <v>10095</v>
      </c>
      <c r="C258">
        <v>0</v>
      </c>
      <c r="D258">
        <v>0</v>
      </c>
      <c r="E258">
        <v>0</v>
      </c>
      <c r="F258">
        <v>5</v>
      </c>
      <c r="G258">
        <v>5</v>
      </c>
      <c r="H258">
        <v>3</v>
      </c>
      <c r="I258">
        <v>0</v>
      </c>
      <c r="J258">
        <v>63878</v>
      </c>
      <c r="K258">
        <v>1</v>
      </c>
      <c r="L258">
        <v>20</v>
      </c>
      <c r="M258" t="s">
        <v>66</v>
      </c>
      <c r="N258" t="e" vm="1">
        <v>#VALUE!</v>
      </c>
      <c r="O258">
        <v>1851</v>
      </c>
      <c r="P258" t="s">
        <v>911</v>
      </c>
      <c r="Q258" t="s">
        <v>68</v>
      </c>
      <c r="R258">
        <f t="shared" ref="R258:R312" ca="1" si="12">DATEDIF(P258, TODAY(), "Y")</f>
        <v>30</v>
      </c>
      <c r="S258" t="s">
        <v>42</v>
      </c>
      <c r="T258" t="s">
        <v>43</v>
      </c>
      <c r="U258" t="s">
        <v>44</v>
      </c>
      <c r="V258" t="s">
        <v>45</v>
      </c>
      <c r="W258" t="s">
        <v>912</v>
      </c>
      <c r="X258">
        <f t="shared" ca="1" si="11"/>
        <v>9</v>
      </c>
      <c r="Y258" t="s">
        <v>913</v>
      </c>
      <c r="Z258" t="str">
        <f t="shared" ref="Z258:Z312" ca="1" si="13">IF(Y258="", "", IFERROR( DATEDIF(TODAY(), Y258, "D"), ""))</f>
        <v/>
      </c>
      <c r="AA258" t="s">
        <v>59</v>
      </c>
      <c r="AB258" t="s">
        <v>48</v>
      </c>
      <c r="AC258" t="s">
        <v>49</v>
      </c>
      <c r="AD258">
        <v>22</v>
      </c>
      <c r="AE258" t="s">
        <v>179</v>
      </c>
      <c r="AF258" t="s">
        <v>63</v>
      </c>
      <c r="AG258">
        <v>4.68</v>
      </c>
      <c r="AH258">
        <v>4</v>
      </c>
      <c r="AI258">
        <v>0</v>
      </c>
      <c r="AJ258" t="s">
        <v>914</v>
      </c>
      <c r="AK258">
        <v>0</v>
      </c>
      <c r="AL258">
        <v>20</v>
      </c>
    </row>
    <row r="259" spans="1:38" x14ac:dyDescent="0.25">
      <c r="A259" t="s">
        <v>915</v>
      </c>
      <c r="B259">
        <v>10027</v>
      </c>
      <c r="C259">
        <v>0</v>
      </c>
      <c r="D259">
        <v>0</v>
      </c>
      <c r="E259">
        <v>1</v>
      </c>
      <c r="F259">
        <v>1</v>
      </c>
      <c r="G259">
        <v>5</v>
      </c>
      <c r="H259">
        <v>4</v>
      </c>
      <c r="I259">
        <v>0</v>
      </c>
      <c r="J259">
        <v>60656</v>
      </c>
      <c r="K259">
        <v>0</v>
      </c>
      <c r="L259">
        <v>20</v>
      </c>
      <c r="M259" t="s">
        <v>66</v>
      </c>
      <c r="N259" t="e" vm="1">
        <v>#VALUE!</v>
      </c>
      <c r="O259">
        <v>2045</v>
      </c>
      <c r="P259" t="s">
        <v>916</v>
      </c>
      <c r="Q259" t="s">
        <v>41</v>
      </c>
      <c r="R259">
        <f t="shared" ca="1" si="12"/>
        <v>54</v>
      </c>
      <c r="S259" t="s">
        <v>42</v>
      </c>
      <c r="T259" t="s">
        <v>43</v>
      </c>
      <c r="U259" t="s">
        <v>44</v>
      </c>
      <c r="V259" t="s">
        <v>45</v>
      </c>
      <c r="W259" t="s">
        <v>214</v>
      </c>
      <c r="X259">
        <f t="shared" ref="X259:X312" ca="1" si="14">DATEDIF(W259, TODAY(), "Y")</f>
        <v>4</v>
      </c>
      <c r="Z259" t="str">
        <f t="shared" ca="1" si="13"/>
        <v/>
      </c>
      <c r="AA259" t="s">
        <v>47</v>
      </c>
      <c r="AB259" t="s">
        <v>48</v>
      </c>
      <c r="AC259" t="s">
        <v>75</v>
      </c>
      <c r="AD259">
        <v>16</v>
      </c>
      <c r="AE259" t="s">
        <v>62</v>
      </c>
      <c r="AF259" t="s">
        <v>51</v>
      </c>
      <c r="AG259">
        <v>4.3</v>
      </c>
      <c r="AH259">
        <v>3</v>
      </c>
      <c r="AI259">
        <v>0</v>
      </c>
      <c r="AJ259" t="s">
        <v>321</v>
      </c>
      <c r="AK259">
        <v>0</v>
      </c>
      <c r="AL259">
        <v>4</v>
      </c>
    </row>
    <row r="260" spans="1:38" x14ac:dyDescent="0.25">
      <c r="A260" t="s">
        <v>917</v>
      </c>
      <c r="B260">
        <v>10291</v>
      </c>
      <c r="C260">
        <v>0</v>
      </c>
      <c r="D260">
        <v>2</v>
      </c>
      <c r="E260">
        <v>1</v>
      </c>
      <c r="F260">
        <v>1</v>
      </c>
      <c r="G260">
        <v>6</v>
      </c>
      <c r="H260">
        <v>2</v>
      </c>
      <c r="I260">
        <v>1</v>
      </c>
      <c r="J260">
        <v>72992</v>
      </c>
      <c r="K260">
        <v>0</v>
      </c>
      <c r="L260">
        <v>21</v>
      </c>
      <c r="M260" t="s">
        <v>326</v>
      </c>
      <c r="N260" t="e" vm="1">
        <v>#VALUE!</v>
      </c>
      <c r="O260">
        <v>1886</v>
      </c>
      <c r="P260" t="s">
        <v>918</v>
      </c>
      <c r="Q260" t="s">
        <v>41</v>
      </c>
      <c r="R260">
        <f t="shared" ca="1" si="12"/>
        <v>37</v>
      </c>
      <c r="S260" t="s">
        <v>79</v>
      </c>
      <c r="T260" t="s">
        <v>43</v>
      </c>
      <c r="U260" t="s">
        <v>44</v>
      </c>
      <c r="V260" t="s">
        <v>106</v>
      </c>
      <c r="W260" t="s">
        <v>919</v>
      </c>
      <c r="X260">
        <f t="shared" ca="1" si="14"/>
        <v>4</v>
      </c>
      <c r="Z260" t="str">
        <f t="shared" ca="1" si="13"/>
        <v/>
      </c>
      <c r="AA260" t="s">
        <v>47</v>
      </c>
      <c r="AB260" t="s">
        <v>226</v>
      </c>
      <c r="AC260" t="s">
        <v>329</v>
      </c>
      <c r="AD260">
        <v>15</v>
      </c>
      <c r="AE260" t="s">
        <v>109</v>
      </c>
      <c r="AF260" t="s">
        <v>180</v>
      </c>
      <c r="AG260">
        <v>2.4</v>
      </c>
      <c r="AH260">
        <v>4</v>
      </c>
      <c r="AI260">
        <v>0</v>
      </c>
      <c r="AJ260" t="s">
        <v>463</v>
      </c>
      <c r="AK260">
        <v>2</v>
      </c>
      <c r="AL260">
        <v>16</v>
      </c>
    </row>
    <row r="261" spans="1:38" x14ac:dyDescent="0.25">
      <c r="A261" t="s">
        <v>920</v>
      </c>
      <c r="B261">
        <v>10153</v>
      </c>
      <c r="C261">
        <v>1</v>
      </c>
      <c r="D261">
        <v>1</v>
      </c>
      <c r="E261">
        <v>0</v>
      </c>
      <c r="F261">
        <v>5</v>
      </c>
      <c r="G261">
        <v>1</v>
      </c>
      <c r="H261">
        <v>3</v>
      </c>
      <c r="I261">
        <v>1</v>
      </c>
      <c r="J261">
        <v>55000</v>
      </c>
      <c r="K261">
        <v>1</v>
      </c>
      <c r="L261">
        <v>2</v>
      </c>
      <c r="M261" t="s">
        <v>550</v>
      </c>
      <c r="N261" t="e" vm="1">
        <v>#VALUE!</v>
      </c>
      <c r="O261">
        <v>1844</v>
      </c>
      <c r="P261" t="s">
        <v>921</v>
      </c>
      <c r="Q261" t="s">
        <v>68</v>
      </c>
      <c r="R261">
        <f t="shared" ca="1" si="12"/>
        <v>32</v>
      </c>
      <c r="S261" t="s">
        <v>56</v>
      </c>
      <c r="T261" t="s">
        <v>43</v>
      </c>
      <c r="U261" t="s">
        <v>44</v>
      </c>
      <c r="V261" t="s">
        <v>106</v>
      </c>
      <c r="W261" t="s">
        <v>604</v>
      </c>
      <c r="X261">
        <f t="shared" ca="1" si="14"/>
        <v>7</v>
      </c>
      <c r="Y261" t="s">
        <v>922</v>
      </c>
      <c r="Z261">
        <f t="shared" ca="1" si="13"/>
        <v>102</v>
      </c>
      <c r="AA261" t="s">
        <v>59</v>
      </c>
      <c r="AB261" t="s">
        <v>195</v>
      </c>
      <c r="AC261" t="s">
        <v>196</v>
      </c>
      <c r="AD261">
        <v>1</v>
      </c>
      <c r="AE261" t="s">
        <v>109</v>
      </c>
      <c r="AF261" t="s">
        <v>63</v>
      </c>
      <c r="AG261">
        <v>3.8</v>
      </c>
      <c r="AH261">
        <v>4</v>
      </c>
      <c r="AI261">
        <v>4</v>
      </c>
      <c r="AJ261" t="s">
        <v>923</v>
      </c>
      <c r="AK261">
        <v>0</v>
      </c>
      <c r="AL261">
        <v>17</v>
      </c>
    </row>
    <row r="262" spans="1:38" x14ac:dyDescent="0.25">
      <c r="A262" t="s">
        <v>924</v>
      </c>
      <c r="B262">
        <v>10157</v>
      </c>
      <c r="C262">
        <v>0</v>
      </c>
      <c r="D262">
        <v>0</v>
      </c>
      <c r="E262">
        <v>0</v>
      </c>
      <c r="F262">
        <v>1</v>
      </c>
      <c r="G262">
        <v>5</v>
      </c>
      <c r="H262">
        <v>3</v>
      </c>
      <c r="I262">
        <v>0</v>
      </c>
      <c r="J262">
        <v>58939</v>
      </c>
      <c r="K262">
        <v>0</v>
      </c>
      <c r="L262">
        <v>19</v>
      </c>
      <c r="M262" t="s">
        <v>39</v>
      </c>
      <c r="N262" t="e" vm="1">
        <v>#VALUE!</v>
      </c>
      <c r="O262">
        <v>2130</v>
      </c>
      <c r="P262" t="s">
        <v>925</v>
      </c>
      <c r="Q262" t="s">
        <v>68</v>
      </c>
      <c r="R262">
        <f t="shared" ca="1" si="12"/>
        <v>60</v>
      </c>
      <c r="S262" t="s">
        <v>42</v>
      </c>
      <c r="T262" t="s">
        <v>43</v>
      </c>
      <c r="U262" t="s">
        <v>44</v>
      </c>
      <c r="V262" t="s">
        <v>45</v>
      </c>
      <c r="W262" t="s">
        <v>219</v>
      </c>
      <c r="X262">
        <f t="shared" ca="1" si="14"/>
        <v>5</v>
      </c>
      <c r="Z262" t="str">
        <f t="shared" ca="1" si="13"/>
        <v/>
      </c>
      <c r="AA262" t="s">
        <v>47</v>
      </c>
      <c r="AB262" t="s">
        <v>48</v>
      </c>
      <c r="AC262" t="s">
        <v>101</v>
      </c>
      <c r="AD262">
        <v>19</v>
      </c>
      <c r="AE262" t="s">
        <v>102</v>
      </c>
      <c r="AF262" t="s">
        <v>63</v>
      </c>
      <c r="AG262">
        <v>3.73</v>
      </c>
      <c r="AH262">
        <v>3</v>
      </c>
      <c r="AI262">
        <v>0</v>
      </c>
      <c r="AJ262" t="s">
        <v>330</v>
      </c>
      <c r="AK262">
        <v>0</v>
      </c>
      <c r="AL262">
        <v>16</v>
      </c>
    </row>
    <row r="263" spans="1:38" x14ac:dyDescent="0.25">
      <c r="A263" t="s">
        <v>926</v>
      </c>
      <c r="B263">
        <v>10119</v>
      </c>
      <c r="C263">
        <v>1</v>
      </c>
      <c r="D263">
        <v>1</v>
      </c>
      <c r="E263">
        <v>0</v>
      </c>
      <c r="F263">
        <v>1</v>
      </c>
      <c r="G263">
        <v>3</v>
      </c>
      <c r="H263">
        <v>3</v>
      </c>
      <c r="I263">
        <v>0</v>
      </c>
      <c r="J263">
        <v>66593</v>
      </c>
      <c r="K263">
        <v>0</v>
      </c>
      <c r="L263">
        <v>14</v>
      </c>
      <c r="M263" t="s">
        <v>112</v>
      </c>
      <c r="N263" t="e" vm="1">
        <v>#VALUE!</v>
      </c>
      <c r="O263">
        <v>2360</v>
      </c>
      <c r="P263" t="s">
        <v>927</v>
      </c>
      <c r="Q263" t="s">
        <v>68</v>
      </c>
      <c r="R263">
        <f t="shared" ca="1" si="12"/>
        <v>50</v>
      </c>
      <c r="S263" t="s">
        <v>56</v>
      </c>
      <c r="T263" t="s">
        <v>43</v>
      </c>
      <c r="U263" t="s">
        <v>44</v>
      </c>
      <c r="V263" t="s">
        <v>106</v>
      </c>
      <c r="W263" t="s">
        <v>928</v>
      </c>
      <c r="X263">
        <f t="shared" ca="1" si="14"/>
        <v>7</v>
      </c>
      <c r="Z263" t="str">
        <f t="shared" ca="1" si="13"/>
        <v/>
      </c>
      <c r="AA263" t="s">
        <v>47</v>
      </c>
      <c r="AB263" t="s">
        <v>60</v>
      </c>
      <c r="AC263" t="s">
        <v>285</v>
      </c>
      <c r="AD263">
        <v>6</v>
      </c>
      <c r="AE263" t="s">
        <v>50</v>
      </c>
      <c r="AF263" t="s">
        <v>63</v>
      </c>
      <c r="AG263">
        <v>4.3</v>
      </c>
      <c r="AH263">
        <v>3</v>
      </c>
      <c r="AI263">
        <v>5</v>
      </c>
      <c r="AJ263" t="s">
        <v>449</v>
      </c>
      <c r="AK263">
        <v>0</v>
      </c>
      <c r="AL263">
        <v>19</v>
      </c>
    </row>
    <row r="264" spans="1:38" x14ac:dyDescent="0.25">
      <c r="A264" t="s">
        <v>929</v>
      </c>
      <c r="B264">
        <v>10180</v>
      </c>
      <c r="C264">
        <v>1</v>
      </c>
      <c r="D264">
        <v>1</v>
      </c>
      <c r="E264">
        <v>1</v>
      </c>
      <c r="F264">
        <v>2</v>
      </c>
      <c r="G264">
        <v>3</v>
      </c>
      <c r="H264">
        <v>3</v>
      </c>
      <c r="I264">
        <v>0</v>
      </c>
      <c r="J264">
        <v>87565</v>
      </c>
      <c r="K264">
        <v>0</v>
      </c>
      <c r="L264">
        <v>28</v>
      </c>
      <c r="M264" t="s">
        <v>323</v>
      </c>
      <c r="N264" t="e" vm="1">
        <v>#VALUE!</v>
      </c>
      <c r="O264">
        <v>1545</v>
      </c>
      <c r="P264" t="s">
        <v>930</v>
      </c>
      <c r="Q264" t="s">
        <v>41</v>
      </c>
      <c r="R264">
        <f t="shared" ca="1" si="12"/>
        <v>36</v>
      </c>
      <c r="S264" t="s">
        <v>56</v>
      </c>
      <c r="T264" t="s">
        <v>43</v>
      </c>
      <c r="U264" t="s">
        <v>44</v>
      </c>
      <c r="V264" t="s">
        <v>165</v>
      </c>
      <c r="W264" t="s">
        <v>251</v>
      </c>
      <c r="X264">
        <f t="shared" ca="1" si="14"/>
        <v>2</v>
      </c>
      <c r="Z264" t="str">
        <f t="shared" ca="1" si="13"/>
        <v/>
      </c>
      <c r="AA264" t="s">
        <v>47</v>
      </c>
      <c r="AB264" t="s">
        <v>60</v>
      </c>
      <c r="AC264" t="s">
        <v>115</v>
      </c>
      <c r="AD264">
        <v>7</v>
      </c>
      <c r="AE264" t="s">
        <v>50</v>
      </c>
      <c r="AF264" t="s">
        <v>63</v>
      </c>
      <c r="AG264">
        <v>3.27</v>
      </c>
      <c r="AH264">
        <v>4</v>
      </c>
      <c r="AI264">
        <v>5</v>
      </c>
      <c r="AJ264" t="s">
        <v>152</v>
      </c>
      <c r="AK264">
        <v>0</v>
      </c>
      <c r="AL264">
        <v>13</v>
      </c>
    </row>
    <row r="265" spans="1:38" x14ac:dyDescent="0.25">
      <c r="A265" t="s">
        <v>931</v>
      </c>
      <c r="B265">
        <v>10302</v>
      </c>
      <c r="C265">
        <v>1</v>
      </c>
      <c r="D265">
        <v>1</v>
      </c>
      <c r="E265">
        <v>0</v>
      </c>
      <c r="F265">
        <v>1</v>
      </c>
      <c r="G265">
        <v>5</v>
      </c>
      <c r="H265">
        <v>1</v>
      </c>
      <c r="I265">
        <v>0</v>
      </c>
      <c r="J265">
        <v>64021</v>
      </c>
      <c r="K265">
        <v>0</v>
      </c>
      <c r="L265">
        <v>19</v>
      </c>
      <c r="M265" t="s">
        <v>39</v>
      </c>
      <c r="N265" t="e" vm="1">
        <v>#VALUE!</v>
      </c>
      <c r="O265">
        <v>2093</v>
      </c>
      <c r="P265" t="s">
        <v>932</v>
      </c>
      <c r="Q265" t="s">
        <v>68</v>
      </c>
      <c r="R265">
        <f t="shared" ca="1" si="12"/>
        <v>57</v>
      </c>
      <c r="S265" t="s">
        <v>56</v>
      </c>
      <c r="T265" t="s">
        <v>43</v>
      </c>
      <c r="U265" t="s">
        <v>44</v>
      </c>
      <c r="V265" t="s">
        <v>45</v>
      </c>
      <c r="W265" t="s">
        <v>135</v>
      </c>
      <c r="X265">
        <f t="shared" ca="1" si="14"/>
        <v>6</v>
      </c>
      <c r="Z265" t="str">
        <f t="shared" ca="1" si="13"/>
        <v/>
      </c>
      <c r="AA265" t="s">
        <v>47</v>
      </c>
      <c r="AB265" t="s">
        <v>48</v>
      </c>
      <c r="AC265" t="s">
        <v>108</v>
      </c>
      <c r="AD265">
        <v>12</v>
      </c>
      <c r="AE265" t="s">
        <v>62</v>
      </c>
      <c r="AF265" t="s">
        <v>351</v>
      </c>
      <c r="AG265">
        <v>2.4</v>
      </c>
      <c r="AH265">
        <v>2</v>
      </c>
      <c r="AI265">
        <v>1</v>
      </c>
      <c r="AJ265" t="s">
        <v>103</v>
      </c>
      <c r="AK265">
        <v>6</v>
      </c>
      <c r="AL265">
        <v>20</v>
      </c>
    </row>
    <row r="266" spans="1:38" x14ac:dyDescent="0.25">
      <c r="A266" t="s">
        <v>933</v>
      </c>
      <c r="B266">
        <v>10090</v>
      </c>
      <c r="C266">
        <v>1</v>
      </c>
      <c r="D266">
        <v>1</v>
      </c>
      <c r="E266">
        <v>0</v>
      </c>
      <c r="F266">
        <v>1</v>
      </c>
      <c r="G266">
        <v>5</v>
      </c>
      <c r="H266">
        <v>3</v>
      </c>
      <c r="I266">
        <v>0</v>
      </c>
      <c r="J266">
        <v>65714</v>
      </c>
      <c r="K266">
        <v>0</v>
      </c>
      <c r="L266">
        <v>18</v>
      </c>
      <c r="M266" t="s">
        <v>198</v>
      </c>
      <c r="N266" t="e" vm="1">
        <v>#VALUE!</v>
      </c>
      <c r="O266">
        <v>2451</v>
      </c>
      <c r="P266" t="s">
        <v>934</v>
      </c>
      <c r="Q266" t="s">
        <v>68</v>
      </c>
      <c r="R266">
        <f t="shared" ca="1" si="12"/>
        <v>43</v>
      </c>
      <c r="S266" t="s">
        <v>56</v>
      </c>
      <c r="T266" t="s">
        <v>43</v>
      </c>
      <c r="U266" t="s">
        <v>44</v>
      </c>
      <c r="V266" t="s">
        <v>45</v>
      </c>
      <c r="W266" t="s">
        <v>935</v>
      </c>
      <c r="X266">
        <f t="shared" ca="1" si="14"/>
        <v>6</v>
      </c>
      <c r="Z266" t="str">
        <f t="shared" ca="1" si="13"/>
        <v/>
      </c>
      <c r="AA266" t="s">
        <v>47</v>
      </c>
      <c r="AB266" t="s">
        <v>48</v>
      </c>
      <c r="AC266" t="s">
        <v>201</v>
      </c>
      <c r="AD266">
        <v>2</v>
      </c>
      <c r="AE266" t="s">
        <v>50</v>
      </c>
      <c r="AF266" t="s">
        <v>63</v>
      </c>
      <c r="AG266">
        <v>4.83</v>
      </c>
      <c r="AH266">
        <v>5</v>
      </c>
      <c r="AI266">
        <v>0</v>
      </c>
      <c r="AJ266" t="s">
        <v>137</v>
      </c>
      <c r="AK266">
        <v>0</v>
      </c>
      <c r="AL266">
        <v>15</v>
      </c>
    </row>
    <row r="267" spans="1:38" x14ac:dyDescent="0.25">
      <c r="A267" t="s">
        <v>936</v>
      </c>
      <c r="B267">
        <v>10030</v>
      </c>
      <c r="C267">
        <v>0</v>
      </c>
      <c r="D267">
        <v>2</v>
      </c>
      <c r="E267">
        <v>0</v>
      </c>
      <c r="F267">
        <v>5</v>
      </c>
      <c r="G267">
        <v>5</v>
      </c>
      <c r="H267">
        <v>4</v>
      </c>
      <c r="I267">
        <v>0</v>
      </c>
      <c r="J267">
        <v>62425</v>
      </c>
      <c r="K267">
        <v>1</v>
      </c>
      <c r="L267">
        <v>19</v>
      </c>
      <c r="M267" t="s">
        <v>39</v>
      </c>
      <c r="N267" t="e" vm="1">
        <v>#VALUE!</v>
      </c>
      <c r="O267">
        <v>2359</v>
      </c>
      <c r="P267" t="s">
        <v>937</v>
      </c>
      <c r="Q267" t="s">
        <v>68</v>
      </c>
      <c r="R267">
        <f t="shared" ca="1" si="12"/>
        <v>48</v>
      </c>
      <c r="S267" t="s">
        <v>79</v>
      </c>
      <c r="T267" t="s">
        <v>43</v>
      </c>
      <c r="U267" t="s">
        <v>44</v>
      </c>
      <c r="V267" t="s">
        <v>45</v>
      </c>
      <c r="W267" t="s">
        <v>722</v>
      </c>
      <c r="X267">
        <f t="shared" ca="1" si="14"/>
        <v>5</v>
      </c>
      <c r="Y267" t="s">
        <v>938</v>
      </c>
      <c r="Z267">
        <f t="shared" ca="1" si="13"/>
        <v>412</v>
      </c>
      <c r="AA267" t="s">
        <v>59</v>
      </c>
      <c r="AB267" t="s">
        <v>48</v>
      </c>
      <c r="AC267" t="s">
        <v>122</v>
      </c>
      <c r="AD267">
        <v>14</v>
      </c>
      <c r="AE267" t="s">
        <v>50</v>
      </c>
      <c r="AF267" t="s">
        <v>51</v>
      </c>
      <c r="AG267">
        <v>4.0999999999999996</v>
      </c>
      <c r="AH267">
        <v>4</v>
      </c>
      <c r="AI267">
        <v>0</v>
      </c>
      <c r="AJ267" t="s">
        <v>939</v>
      </c>
      <c r="AK267">
        <v>0</v>
      </c>
      <c r="AL267">
        <v>16</v>
      </c>
    </row>
    <row r="268" spans="1:38" x14ac:dyDescent="0.25">
      <c r="A268" t="s">
        <v>940</v>
      </c>
      <c r="B268">
        <v>10278</v>
      </c>
      <c r="C268">
        <v>0</v>
      </c>
      <c r="D268">
        <v>2</v>
      </c>
      <c r="E268">
        <v>0</v>
      </c>
      <c r="F268">
        <v>1</v>
      </c>
      <c r="G268">
        <v>5</v>
      </c>
      <c r="H268">
        <v>3</v>
      </c>
      <c r="I268">
        <v>0</v>
      </c>
      <c r="J268">
        <v>47961</v>
      </c>
      <c r="K268">
        <v>0</v>
      </c>
      <c r="L268">
        <v>19</v>
      </c>
      <c r="M268" t="s">
        <v>39</v>
      </c>
      <c r="N268" t="e" vm="1">
        <v>#VALUE!</v>
      </c>
      <c r="O268">
        <v>2050</v>
      </c>
      <c r="P268" t="s">
        <v>941</v>
      </c>
      <c r="Q268" t="s">
        <v>68</v>
      </c>
      <c r="R268">
        <f t="shared" ca="1" si="12"/>
        <v>35</v>
      </c>
      <c r="S268" t="s">
        <v>79</v>
      </c>
      <c r="T268" t="s">
        <v>43</v>
      </c>
      <c r="U268" t="s">
        <v>44</v>
      </c>
      <c r="V268" t="s">
        <v>134</v>
      </c>
      <c r="W268" t="s">
        <v>120</v>
      </c>
      <c r="X268">
        <f t="shared" ca="1" si="14"/>
        <v>8</v>
      </c>
      <c r="Z268" t="str">
        <f t="shared" ca="1" si="13"/>
        <v/>
      </c>
      <c r="AA268" t="s">
        <v>47</v>
      </c>
      <c r="AB268" t="s">
        <v>48</v>
      </c>
      <c r="AC268" t="s">
        <v>70</v>
      </c>
      <c r="AD268">
        <v>20</v>
      </c>
      <c r="AE268" t="s">
        <v>83</v>
      </c>
      <c r="AF268" t="s">
        <v>63</v>
      </c>
      <c r="AG268">
        <v>4.0999999999999996</v>
      </c>
      <c r="AH268">
        <v>4</v>
      </c>
      <c r="AI268">
        <v>0</v>
      </c>
      <c r="AJ268" t="s">
        <v>477</v>
      </c>
      <c r="AK268">
        <v>0</v>
      </c>
      <c r="AL268">
        <v>9</v>
      </c>
    </row>
    <row r="269" spans="1:38" x14ac:dyDescent="0.25">
      <c r="A269" t="s">
        <v>942</v>
      </c>
      <c r="B269">
        <v>10307</v>
      </c>
      <c r="C269">
        <v>1</v>
      </c>
      <c r="D269">
        <v>1</v>
      </c>
      <c r="E269">
        <v>1</v>
      </c>
      <c r="F269">
        <v>1</v>
      </c>
      <c r="G269">
        <v>6</v>
      </c>
      <c r="H269">
        <v>1</v>
      </c>
      <c r="I269">
        <v>0</v>
      </c>
      <c r="J269">
        <v>58273</v>
      </c>
      <c r="K269">
        <v>0</v>
      </c>
      <c r="L269">
        <v>3</v>
      </c>
      <c r="M269" t="s">
        <v>222</v>
      </c>
      <c r="N269" t="e" vm="23">
        <v>#VALUE!</v>
      </c>
      <c r="O269">
        <v>89139</v>
      </c>
      <c r="P269" t="s">
        <v>943</v>
      </c>
      <c r="Q269" t="s">
        <v>41</v>
      </c>
      <c r="R269">
        <f t="shared" ca="1" si="12"/>
        <v>47</v>
      </c>
      <c r="S269" t="s">
        <v>56</v>
      </c>
      <c r="T269" t="s">
        <v>43</v>
      </c>
      <c r="U269" t="s">
        <v>44</v>
      </c>
      <c r="V269" t="s">
        <v>45</v>
      </c>
      <c r="W269" t="s">
        <v>264</v>
      </c>
      <c r="X269">
        <f t="shared" ca="1" si="14"/>
        <v>4</v>
      </c>
      <c r="Z269" t="str">
        <f t="shared" ca="1" si="13"/>
        <v/>
      </c>
      <c r="AA269" t="s">
        <v>47</v>
      </c>
      <c r="AB269" t="s">
        <v>226</v>
      </c>
      <c r="AC269" t="s">
        <v>271</v>
      </c>
      <c r="AD269">
        <v>21</v>
      </c>
      <c r="AE269" t="s">
        <v>368</v>
      </c>
      <c r="AF269" t="s">
        <v>351</v>
      </c>
      <c r="AG269">
        <v>1.81</v>
      </c>
      <c r="AH269">
        <v>2</v>
      </c>
      <c r="AI269">
        <v>0</v>
      </c>
      <c r="AJ269" t="s">
        <v>52</v>
      </c>
      <c r="AK269">
        <v>3</v>
      </c>
      <c r="AL269">
        <v>5</v>
      </c>
    </row>
    <row r="270" spans="1:38" x14ac:dyDescent="0.25">
      <c r="A270" t="s">
        <v>944</v>
      </c>
      <c r="B270">
        <v>10147</v>
      </c>
      <c r="C270">
        <v>0</v>
      </c>
      <c r="D270">
        <v>0</v>
      </c>
      <c r="E270">
        <v>1</v>
      </c>
      <c r="F270">
        <v>1</v>
      </c>
      <c r="G270">
        <v>1</v>
      </c>
      <c r="H270">
        <v>3</v>
      </c>
      <c r="I270">
        <v>0</v>
      </c>
      <c r="J270">
        <v>63003</v>
      </c>
      <c r="K270">
        <v>0</v>
      </c>
      <c r="L270">
        <v>1</v>
      </c>
      <c r="M270" t="s">
        <v>208</v>
      </c>
      <c r="N270" t="e" vm="1">
        <v>#VALUE!</v>
      </c>
      <c r="O270">
        <v>2703</v>
      </c>
      <c r="P270" t="s">
        <v>945</v>
      </c>
      <c r="Q270" t="s">
        <v>41</v>
      </c>
      <c r="R270">
        <f t="shared" ca="1" si="12"/>
        <v>32</v>
      </c>
      <c r="S270" t="s">
        <v>42</v>
      </c>
      <c r="T270" t="s">
        <v>43</v>
      </c>
      <c r="U270" t="s">
        <v>44</v>
      </c>
      <c r="V270" t="s">
        <v>45</v>
      </c>
      <c r="W270" t="s">
        <v>214</v>
      </c>
      <c r="X270">
        <f t="shared" ca="1" si="14"/>
        <v>4</v>
      </c>
      <c r="Z270" t="str">
        <f t="shared" ca="1" si="13"/>
        <v/>
      </c>
      <c r="AA270" t="s">
        <v>47</v>
      </c>
      <c r="AB270" t="s">
        <v>195</v>
      </c>
      <c r="AC270" t="s">
        <v>196</v>
      </c>
      <c r="AD270">
        <v>1</v>
      </c>
      <c r="AE270" t="s">
        <v>62</v>
      </c>
      <c r="AF270" t="s">
        <v>63</v>
      </c>
      <c r="AG270">
        <v>3.9</v>
      </c>
      <c r="AH270">
        <v>5</v>
      </c>
      <c r="AI270">
        <v>5</v>
      </c>
      <c r="AJ270" t="s">
        <v>373</v>
      </c>
      <c r="AK270">
        <v>0</v>
      </c>
      <c r="AL270">
        <v>9</v>
      </c>
    </row>
    <row r="271" spans="1:38" x14ac:dyDescent="0.25">
      <c r="A271" t="s">
        <v>946</v>
      </c>
      <c r="B271">
        <v>10266</v>
      </c>
      <c r="C271">
        <v>1</v>
      </c>
      <c r="D271">
        <v>1</v>
      </c>
      <c r="E271">
        <v>1</v>
      </c>
      <c r="F271">
        <v>1</v>
      </c>
      <c r="G271">
        <v>5</v>
      </c>
      <c r="H271">
        <v>3</v>
      </c>
      <c r="I271">
        <v>0</v>
      </c>
      <c r="J271">
        <v>61355</v>
      </c>
      <c r="K271">
        <v>0</v>
      </c>
      <c r="L271">
        <v>19</v>
      </c>
      <c r="M271" t="s">
        <v>39</v>
      </c>
      <c r="N271" t="e" vm="1">
        <v>#VALUE!</v>
      </c>
      <c r="O271">
        <v>2301</v>
      </c>
      <c r="P271" t="s">
        <v>947</v>
      </c>
      <c r="Q271" t="s">
        <v>41</v>
      </c>
      <c r="R271">
        <f t="shared" ca="1" si="12"/>
        <v>32</v>
      </c>
      <c r="S271" t="s">
        <v>56</v>
      </c>
      <c r="T271" t="s">
        <v>43</v>
      </c>
      <c r="U271" t="s">
        <v>44</v>
      </c>
      <c r="V271" t="s">
        <v>165</v>
      </c>
      <c r="W271" t="s">
        <v>188</v>
      </c>
      <c r="X271">
        <f t="shared" ca="1" si="14"/>
        <v>4</v>
      </c>
      <c r="Z271" t="str">
        <f t="shared" ca="1" si="13"/>
        <v/>
      </c>
      <c r="AA271" t="s">
        <v>47</v>
      </c>
      <c r="AB271" t="s">
        <v>48</v>
      </c>
      <c r="AC271" t="s">
        <v>136</v>
      </c>
      <c r="AD271">
        <v>18</v>
      </c>
      <c r="AE271" t="s">
        <v>50</v>
      </c>
      <c r="AF271" t="s">
        <v>63</v>
      </c>
      <c r="AG271">
        <v>4.7</v>
      </c>
      <c r="AH271">
        <v>3</v>
      </c>
      <c r="AI271">
        <v>0</v>
      </c>
      <c r="AJ271" t="s">
        <v>167</v>
      </c>
      <c r="AK271">
        <v>0</v>
      </c>
      <c r="AL271">
        <v>4</v>
      </c>
    </row>
    <row r="272" spans="1:38" x14ac:dyDescent="0.25">
      <c r="A272" t="s">
        <v>948</v>
      </c>
      <c r="B272">
        <v>10241</v>
      </c>
      <c r="C272">
        <v>1</v>
      </c>
      <c r="D272">
        <v>1</v>
      </c>
      <c r="E272">
        <v>0</v>
      </c>
      <c r="F272">
        <v>1</v>
      </c>
      <c r="G272">
        <v>6</v>
      </c>
      <c r="H272">
        <v>3</v>
      </c>
      <c r="I272">
        <v>0</v>
      </c>
      <c r="J272">
        <v>60120</v>
      </c>
      <c r="K272">
        <v>0</v>
      </c>
      <c r="L272">
        <v>3</v>
      </c>
      <c r="M272" t="s">
        <v>222</v>
      </c>
      <c r="N272" t="e" vm="24">
        <v>#VALUE!</v>
      </c>
      <c r="O272">
        <v>59102</v>
      </c>
      <c r="P272" t="s">
        <v>949</v>
      </c>
      <c r="Q272" t="s">
        <v>68</v>
      </c>
      <c r="R272">
        <f t="shared" ca="1" si="12"/>
        <v>29</v>
      </c>
      <c r="S272" t="s">
        <v>56</v>
      </c>
      <c r="T272" t="s">
        <v>43</v>
      </c>
      <c r="U272" t="s">
        <v>44</v>
      </c>
      <c r="V272" t="s">
        <v>106</v>
      </c>
      <c r="W272" t="s">
        <v>950</v>
      </c>
      <c r="X272">
        <f t="shared" ca="1" si="14"/>
        <v>8</v>
      </c>
      <c r="Z272" t="str">
        <f t="shared" ca="1" si="13"/>
        <v/>
      </c>
      <c r="AA272" t="s">
        <v>47</v>
      </c>
      <c r="AB272" t="s">
        <v>226</v>
      </c>
      <c r="AC272" t="s">
        <v>227</v>
      </c>
      <c r="AD272">
        <v>17</v>
      </c>
      <c r="AE272" t="s">
        <v>62</v>
      </c>
      <c r="AF272" t="s">
        <v>63</v>
      </c>
      <c r="AG272">
        <v>4.0999999999999996</v>
      </c>
      <c r="AH272">
        <v>4</v>
      </c>
      <c r="AI272">
        <v>0</v>
      </c>
      <c r="AJ272" t="s">
        <v>342</v>
      </c>
      <c r="AK272">
        <v>0</v>
      </c>
      <c r="AL272">
        <v>18</v>
      </c>
    </row>
    <row r="273" spans="1:38" x14ac:dyDescent="0.25">
      <c r="A273" t="s">
        <v>951</v>
      </c>
      <c r="B273">
        <v>10158</v>
      </c>
      <c r="C273">
        <v>1</v>
      </c>
      <c r="D273">
        <v>1</v>
      </c>
      <c r="E273">
        <v>0</v>
      </c>
      <c r="F273">
        <v>1</v>
      </c>
      <c r="G273">
        <v>5</v>
      </c>
      <c r="H273">
        <v>3</v>
      </c>
      <c r="I273">
        <v>0</v>
      </c>
      <c r="J273">
        <v>63682</v>
      </c>
      <c r="K273">
        <v>0</v>
      </c>
      <c r="L273">
        <v>18</v>
      </c>
      <c r="M273" t="s">
        <v>198</v>
      </c>
      <c r="N273" t="e" vm="1">
        <v>#VALUE!</v>
      </c>
      <c r="O273">
        <v>1776</v>
      </c>
      <c r="P273" t="s">
        <v>952</v>
      </c>
      <c r="Q273" t="s">
        <v>68</v>
      </c>
      <c r="R273">
        <f t="shared" ca="1" si="12"/>
        <v>45</v>
      </c>
      <c r="S273" t="s">
        <v>56</v>
      </c>
      <c r="T273" t="s">
        <v>43</v>
      </c>
      <c r="U273" t="s">
        <v>44</v>
      </c>
      <c r="V273" t="s">
        <v>106</v>
      </c>
      <c r="W273" t="s">
        <v>953</v>
      </c>
      <c r="X273">
        <f t="shared" ca="1" si="14"/>
        <v>10</v>
      </c>
      <c r="Z273" t="str">
        <f t="shared" ca="1" si="13"/>
        <v/>
      </c>
      <c r="AA273" t="s">
        <v>47</v>
      </c>
      <c r="AB273" t="s">
        <v>48</v>
      </c>
      <c r="AC273" t="s">
        <v>201</v>
      </c>
      <c r="AD273">
        <v>2</v>
      </c>
      <c r="AE273" t="s">
        <v>62</v>
      </c>
      <c r="AF273" t="s">
        <v>63</v>
      </c>
      <c r="AG273">
        <v>3.73</v>
      </c>
      <c r="AH273">
        <v>4</v>
      </c>
      <c r="AI273">
        <v>0</v>
      </c>
      <c r="AJ273" t="s">
        <v>330</v>
      </c>
      <c r="AK273">
        <v>0</v>
      </c>
      <c r="AL273">
        <v>12</v>
      </c>
    </row>
    <row r="274" spans="1:38" x14ac:dyDescent="0.25">
      <c r="A274" t="s">
        <v>954</v>
      </c>
      <c r="B274">
        <v>10117</v>
      </c>
      <c r="C274">
        <v>1</v>
      </c>
      <c r="D274">
        <v>1</v>
      </c>
      <c r="E274">
        <v>1</v>
      </c>
      <c r="F274">
        <v>1</v>
      </c>
      <c r="G274">
        <v>5</v>
      </c>
      <c r="H274">
        <v>3</v>
      </c>
      <c r="I274">
        <v>0</v>
      </c>
      <c r="J274">
        <v>63025</v>
      </c>
      <c r="K274">
        <v>0</v>
      </c>
      <c r="L274">
        <v>19</v>
      </c>
      <c r="M274" t="s">
        <v>39</v>
      </c>
      <c r="N274" t="e" vm="1">
        <v>#VALUE!</v>
      </c>
      <c r="O274">
        <v>2747</v>
      </c>
      <c r="P274" t="s">
        <v>955</v>
      </c>
      <c r="Q274" t="s">
        <v>41</v>
      </c>
      <c r="R274">
        <f t="shared" ca="1" si="12"/>
        <v>39</v>
      </c>
      <c r="S274" t="s">
        <v>56</v>
      </c>
      <c r="T274" t="s">
        <v>43</v>
      </c>
      <c r="U274" t="s">
        <v>119</v>
      </c>
      <c r="V274" t="s">
        <v>45</v>
      </c>
      <c r="W274" t="s">
        <v>114</v>
      </c>
      <c r="X274">
        <f t="shared" ca="1" si="14"/>
        <v>4</v>
      </c>
      <c r="Z274" t="str">
        <f t="shared" ca="1" si="13"/>
        <v/>
      </c>
      <c r="AA274" t="s">
        <v>47</v>
      </c>
      <c r="AB274" t="s">
        <v>48</v>
      </c>
      <c r="AC274" t="s">
        <v>49</v>
      </c>
      <c r="AD274">
        <v>22</v>
      </c>
      <c r="AE274" t="s">
        <v>83</v>
      </c>
      <c r="AF274" t="s">
        <v>63</v>
      </c>
      <c r="AG274">
        <v>4.3600000000000003</v>
      </c>
      <c r="AH274">
        <v>5</v>
      </c>
      <c r="AI274">
        <v>0</v>
      </c>
      <c r="AJ274" t="s">
        <v>330</v>
      </c>
      <c r="AK274">
        <v>0</v>
      </c>
      <c r="AL274">
        <v>10</v>
      </c>
    </row>
    <row r="275" spans="1:38" x14ac:dyDescent="0.25">
      <c r="A275" t="s">
        <v>956</v>
      </c>
      <c r="B275">
        <v>10209</v>
      </c>
      <c r="C275">
        <v>0</v>
      </c>
      <c r="D275">
        <v>0</v>
      </c>
      <c r="E275">
        <v>0</v>
      </c>
      <c r="F275">
        <v>1</v>
      </c>
      <c r="G275">
        <v>5</v>
      </c>
      <c r="H275">
        <v>3</v>
      </c>
      <c r="I275">
        <v>0</v>
      </c>
      <c r="J275">
        <v>59238</v>
      </c>
      <c r="K275">
        <v>0</v>
      </c>
      <c r="L275">
        <v>19</v>
      </c>
      <c r="M275" t="s">
        <v>39</v>
      </c>
      <c r="N275" t="e" vm="1">
        <v>#VALUE!</v>
      </c>
      <c r="O275">
        <v>2718</v>
      </c>
      <c r="P275" t="s">
        <v>957</v>
      </c>
      <c r="Q275" t="s">
        <v>68</v>
      </c>
      <c r="R275">
        <f t="shared" ca="1" si="12"/>
        <v>52</v>
      </c>
      <c r="S275" t="s">
        <v>42</v>
      </c>
      <c r="T275" t="s">
        <v>155</v>
      </c>
      <c r="U275" t="s">
        <v>44</v>
      </c>
      <c r="V275" t="s">
        <v>165</v>
      </c>
      <c r="W275" t="s">
        <v>270</v>
      </c>
      <c r="X275">
        <f t="shared" ca="1" si="14"/>
        <v>6</v>
      </c>
      <c r="Z275" t="str">
        <f t="shared" ca="1" si="13"/>
        <v/>
      </c>
      <c r="AA275" t="s">
        <v>47</v>
      </c>
      <c r="AB275" t="s">
        <v>48</v>
      </c>
      <c r="AC275" t="s">
        <v>75</v>
      </c>
      <c r="AD275">
        <v>16</v>
      </c>
      <c r="AE275" t="s">
        <v>62</v>
      </c>
      <c r="AF275" t="s">
        <v>63</v>
      </c>
      <c r="AG275">
        <v>3.4</v>
      </c>
      <c r="AH275">
        <v>5</v>
      </c>
      <c r="AI275">
        <v>0</v>
      </c>
      <c r="AJ275" t="s">
        <v>342</v>
      </c>
      <c r="AK275">
        <v>0</v>
      </c>
      <c r="AL275">
        <v>13</v>
      </c>
    </row>
    <row r="276" spans="1:38" x14ac:dyDescent="0.25">
      <c r="A276" t="s">
        <v>958</v>
      </c>
      <c r="B276">
        <v>10024</v>
      </c>
      <c r="C276">
        <v>0</v>
      </c>
      <c r="D276">
        <v>0</v>
      </c>
      <c r="E276">
        <v>1</v>
      </c>
      <c r="F276">
        <v>1</v>
      </c>
      <c r="G276">
        <v>4</v>
      </c>
      <c r="H276">
        <v>4</v>
      </c>
      <c r="I276">
        <v>0</v>
      </c>
      <c r="J276">
        <v>92989</v>
      </c>
      <c r="K276">
        <v>0</v>
      </c>
      <c r="L276">
        <v>24</v>
      </c>
      <c r="M276" t="s">
        <v>91</v>
      </c>
      <c r="N276" t="e" vm="1">
        <v>#VALUE!</v>
      </c>
      <c r="O276">
        <v>2140</v>
      </c>
      <c r="P276" t="s">
        <v>959</v>
      </c>
      <c r="Q276" t="s">
        <v>41</v>
      </c>
      <c r="R276">
        <f t="shared" ca="1" si="12"/>
        <v>39</v>
      </c>
      <c r="S276" t="s">
        <v>42</v>
      </c>
      <c r="T276" t="s">
        <v>43</v>
      </c>
      <c r="U276" t="s">
        <v>44</v>
      </c>
      <c r="V276" t="s">
        <v>45</v>
      </c>
      <c r="W276" t="s">
        <v>160</v>
      </c>
      <c r="X276">
        <f t="shared" ca="1" si="14"/>
        <v>4</v>
      </c>
      <c r="Z276" t="str">
        <f t="shared" ca="1" si="13"/>
        <v/>
      </c>
      <c r="AA276" t="s">
        <v>47</v>
      </c>
      <c r="AB276" t="s">
        <v>94</v>
      </c>
      <c r="AC276" t="s">
        <v>95</v>
      </c>
      <c r="AD276">
        <v>10</v>
      </c>
      <c r="AE276" t="s">
        <v>50</v>
      </c>
      <c r="AF276" t="s">
        <v>51</v>
      </c>
      <c r="AG276">
        <v>4.5</v>
      </c>
      <c r="AH276">
        <v>5</v>
      </c>
      <c r="AI276">
        <v>5</v>
      </c>
      <c r="AJ276" t="s">
        <v>116</v>
      </c>
      <c r="AK276">
        <v>0</v>
      </c>
      <c r="AL276">
        <v>1</v>
      </c>
    </row>
    <row r="277" spans="1:38" x14ac:dyDescent="0.25">
      <c r="A277" t="s">
        <v>960</v>
      </c>
      <c r="B277">
        <v>10173</v>
      </c>
      <c r="C277">
        <v>1</v>
      </c>
      <c r="D277">
        <v>1</v>
      </c>
      <c r="E277">
        <v>1</v>
      </c>
      <c r="F277">
        <v>1</v>
      </c>
      <c r="G277">
        <v>3</v>
      </c>
      <c r="H277">
        <v>3</v>
      </c>
      <c r="I277">
        <v>0</v>
      </c>
      <c r="J277">
        <v>90100</v>
      </c>
      <c r="K277">
        <v>0</v>
      </c>
      <c r="L277">
        <v>4</v>
      </c>
      <c r="M277" t="s">
        <v>359</v>
      </c>
      <c r="N277" t="e" vm="1">
        <v>#VALUE!</v>
      </c>
      <c r="O277">
        <v>2134</v>
      </c>
      <c r="P277" t="s">
        <v>961</v>
      </c>
      <c r="Q277" t="s">
        <v>41</v>
      </c>
      <c r="R277">
        <f t="shared" ca="1" si="12"/>
        <v>37</v>
      </c>
      <c r="S277" t="s">
        <v>56</v>
      </c>
      <c r="T277" t="s">
        <v>43</v>
      </c>
      <c r="U277" t="s">
        <v>44</v>
      </c>
      <c r="V277" t="s">
        <v>45</v>
      </c>
      <c r="W277" t="s">
        <v>514</v>
      </c>
      <c r="X277">
        <f t="shared" ca="1" si="14"/>
        <v>1</v>
      </c>
      <c r="Z277" t="str">
        <f t="shared" ca="1" si="13"/>
        <v/>
      </c>
      <c r="AA277" t="s">
        <v>47</v>
      </c>
      <c r="AB277" t="s">
        <v>60</v>
      </c>
      <c r="AC277" t="s">
        <v>362</v>
      </c>
      <c r="AD277">
        <v>13</v>
      </c>
      <c r="AE277" t="s">
        <v>62</v>
      </c>
      <c r="AF277" t="s">
        <v>63</v>
      </c>
      <c r="AG277">
        <v>3.4</v>
      </c>
      <c r="AH277">
        <v>3</v>
      </c>
      <c r="AI277">
        <v>6</v>
      </c>
      <c r="AJ277" t="s">
        <v>96</v>
      </c>
      <c r="AK277">
        <v>0</v>
      </c>
      <c r="AL277">
        <v>14</v>
      </c>
    </row>
    <row r="278" spans="1:38" x14ac:dyDescent="0.25">
      <c r="A278" t="s">
        <v>962</v>
      </c>
      <c r="B278">
        <v>10221</v>
      </c>
      <c r="C278">
        <v>1</v>
      </c>
      <c r="D278">
        <v>1</v>
      </c>
      <c r="E278">
        <v>0</v>
      </c>
      <c r="F278">
        <v>5</v>
      </c>
      <c r="G278">
        <v>5</v>
      </c>
      <c r="H278">
        <v>3</v>
      </c>
      <c r="I278">
        <v>1</v>
      </c>
      <c r="J278">
        <v>60754</v>
      </c>
      <c r="K278">
        <v>1</v>
      </c>
      <c r="L278">
        <v>19</v>
      </c>
      <c r="M278" t="s">
        <v>39</v>
      </c>
      <c r="N278" t="e" vm="1">
        <v>#VALUE!</v>
      </c>
      <c r="O278">
        <v>1801</v>
      </c>
      <c r="P278" t="s">
        <v>963</v>
      </c>
      <c r="Q278" t="s">
        <v>68</v>
      </c>
      <c r="R278">
        <f t="shared" ca="1" si="12"/>
        <v>41</v>
      </c>
      <c r="S278" t="s">
        <v>56</v>
      </c>
      <c r="T278" t="s">
        <v>280</v>
      </c>
      <c r="U278" t="s">
        <v>44</v>
      </c>
      <c r="V278" t="s">
        <v>106</v>
      </c>
      <c r="W278" t="s">
        <v>964</v>
      </c>
      <c r="X278">
        <f t="shared" ca="1" si="14"/>
        <v>9</v>
      </c>
      <c r="Y278" t="s">
        <v>289</v>
      </c>
      <c r="Z278">
        <f t="shared" ca="1" si="13"/>
        <v>627</v>
      </c>
      <c r="AA278" t="s">
        <v>59</v>
      </c>
      <c r="AB278" t="s">
        <v>48</v>
      </c>
      <c r="AC278" t="s">
        <v>82</v>
      </c>
      <c r="AD278">
        <v>39</v>
      </c>
      <c r="AE278" t="s">
        <v>109</v>
      </c>
      <c r="AF278" t="s">
        <v>63</v>
      </c>
      <c r="AG278">
        <v>4.5</v>
      </c>
      <c r="AH278">
        <v>5</v>
      </c>
      <c r="AI278">
        <v>0</v>
      </c>
      <c r="AJ278" t="s">
        <v>719</v>
      </c>
      <c r="AK278">
        <v>0</v>
      </c>
      <c r="AL278">
        <v>11</v>
      </c>
    </row>
    <row r="279" spans="1:38" x14ac:dyDescent="0.25">
      <c r="A279" t="s">
        <v>965</v>
      </c>
      <c r="B279">
        <v>10146</v>
      </c>
      <c r="C279">
        <v>1</v>
      </c>
      <c r="D279">
        <v>1</v>
      </c>
      <c r="E279">
        <v>0</v>
      </c>
      <c r="F279">
        <v>5</v>
      </c>
      <c r="G279">
        <v>5</v>
      </c>
      <c r="H279">
        <v>3</v>
      </c>
      <c r="I279">
        <v>0</v>
      </c>
      <c r="J279">
        <v>72202</v>
      </c>
      <c r="K279">
        <v>1</v>
      </c>
      <c r="L279">
        <v>20</v>
      </c>
      <c r="M279" t="s">
        <v>66</v>
      </c>
      <c r="N279" t="e" vm="1">
        <v>#VALUE!</v>
      </c>
      <c r="O279">
        <v>2129</v>
      </c>
      <c r="P279" t="s">
        <v>966</v>
      </c>
      <c r="Q279" t="s">
        <v>68</v>
      </c>
      <c r="R279">
        <f t="shared" ca="1" si="12"/>
        <v>64</v>
      </c>
      <c r="S279" t="s">
        <v>56</v>
      </c>
      <c r="T279" t="s">
        <v>43</v>
      </c>
      <c r="U279" t="s">
        <v>44</v>
      </c>
      <c r="V279" t="s">
        <v>45</v>
      </c>
      <c r="W279" t="s">
        <v>288</v>
      </c>
      <c r="X279">
        <f t="shared" ca="1" si="14"/>
        <v>7</v>
      </c>
      <c r="Y279" t="s">
        <v>967</v>
      </c>
      <c r="Z279">
        <f t="shared" ca="1" si="13"/>
        <v>766</v>
      </c>
      <c r="AA279" t="s">
        <v>59</v>
      </c>
      <c r="AB279" t="s">
        <v>48</v>
      </c>
      <c r="AC279" t="s">
        <v>75</v>
      </c>
      <c r="AD279">
        <v>16</v>
      </c>
      <c r="AE279" t="s">
        <v>83</v>
      </c>
      <c r="AF279" t="s">
        <v>63</v>
      </c>
      <c r="AG279">
        <v>3.93</v>
      </c>
      <c r="AH279">
        <v>3</v>
      </c>
      <c r="AI279">
        <v>0</v>
      </c>
      <c r="AJ279" t="s">
        <v>968</v>
      </c>
      <c r="AK279">
        <v>0</v>
      </c>
      <c r="AL279">
        <v>3</v>
      </c>
    </row>
    <row r="280" spans="1:38" x14ac:dyDescent="0.25">
      <c r="A280" t="s">
        <v>969</v>
      </c>
      <c r="B280">
        <v>10161</v>
      </c>
      <c r="C280">
        <v>0</v>
      </c>
      <c r="D280">
        <v>0</v>
      </c>
      <c r="E280">
        <v>0</v>
      </c>
      <c r="F280">
        <v>1</v>
      </c>
      <c r="G280">
        <v>6</v>
      </c>
      <c r="H280">
        <v>3</v>
      </c>
      <c r="I280">
        <v>0</v>
      </c>
      <c r="J280">
        <v>58370</v>
      </c>
      <c r="K280">
        <v>0</v>
      </c>
      <c r="L280">
        <v>3</v>
      </c>
      <c r="M280" t="s">
        <v>222</v>
      </c>
      <c r="N280" t="e" vm="25">
        <v>#VALUE!</v>
      </c>
      <c r="O280">
        <v>97756</v>
      </c>
      <c r="P280" t="s">
        <v>970</v>
      </c>
      <c r="Q280" t="s">
        <v>68</v>
      </c>
      <c r="R280">
        <f t="shared" ca="1" si="12"/>
        <v>60</v>
      </c>
      <c r="S280" t="s">
        <v>42</v>
      </c>
      <c r="T280" t="s">
        <v>43</v>
      </c>
      <c r="U280" t="s">
        <v>44</v>
      </c>
      <c r="V280" t="s">
        <v>106</v>
      </c>
      <c r="W280" t="s">
        <v>214</v>
      </c>
      <c r="X280">
        <f t="shared" ca="1" si="14"/>
        <v>4</v>
      </c>
      <c r="Z280" t="str">
        <f t="shared" ca="1" si="13"/>
        <v/>
      </c>
      <c r="AA280" t="s">
        <v>47</v>
      </c>
      <c r="AB280" t="s">
        <v>226</v>
      </c>
      <c r="AC280" t="s">
        <v>271</v>
      </c>
      <c r="AD280">
        <v>21</v>
      </c>
      <c r="AE280" t="s">
        <v>62</v>
      </c>
      <c r="AF280" t="s">
        <v>63</v>
      </c>
      <c r="AG280">
        <v>3.69</v>
      </c>
      <c r="AH280">
        <v>3</v>
      </c>
      <c r="AI280">
        <v>0</v>
      </c>
      <c r="AJ280" t="s">
        <v>321</v>
      </c>
      <c r="AK280">
        <v>0</v>
      </c>
      <c r="AL280">
        <v>18</v>
      </c>
    </row>
    <row r="281" spans="1:38" x14ac:dyDescent="0.25">
      <c r="A281" t="s">
        <v>971</v>
      </c>
      <c r="B281">
        <v>10141</v>
      </c>
      <c r="C281">
        <v>0</v>
      </c>
      <c r="D281">
        <v>0</v>
      </c>
      <c r="E281">
        <v>0</v>
      </c>
      <c r="F281">
        <v>5</v>
      </c>
      <c r="G281">
        <v>5</v>
      </c>
      <c r="H281">
        <v>3</v>
      </c>
      <c r="I281">
        <v>0</v>
      </c>
      <c r="J281">
        <v>48413</v>
      </c>
      <c r="K281">
        <v>1</v>
      </c>
      <c r="L281">
        <v>19</v>
      </c>
      <c r="M281" t="s">
        <v>39</v>
      </c>
      <c r="N281" t="e" vm="1">
        <v>#VALUE!</v>
      </c>
      <c r="O281">
        <v>2066</v>
      </c>
      <c r="P281" t="s">
        <v>972</v>
      </c>
      <c r="Q281" t="s">
        <v>68</v>
      </c>
      <c r="R281">
        <f t="shared" ca="1" si="12"/>
        <v>55</v>
      </c>
      <c r="S281" t="s">
        <v>42</v>
      </c>
      <c r="T281" t="s">
        <v>43</v>
      </c>
      <c r="U281" t="s">
        <v>44</v>
      </c>
      <c r="V281" t="s">
        <v>45</v>
      </c>
      <c r="W281" t="s">
        <v>46</v>
      </c>
      <c r="X281">
        <f t="shared" ca="1" si="14"/>
        <v>7</v>
      </c>
      <c r="Y281" t="s">
        <v>973</v>
      </c>
      <c r="Z281">
        <f t="shared" ca="1" si="13"/>
        <v>356</v>
      </c>
      <c r="AA281" t="s">
        <v>59</v>
      </c>
      <c r="AB281" t="s">
        <v>48</v>
      </c>
      <c r="AC281" t="s">
        <v>88</v>
      </c>
      <c r="AD281">
        <v>11</v>
      </c>
      <c r="AE281" t="s">
        <v>62</v>
      </c>
      <c r="AF281" t="s">
        <v>63</v>
      </c>
      <c r="AG281">
        <v>3.98</v>
      </c>
      <c r="AH281">
        <v>4</v>
      </c>
      <c r="AI281">
        <v>0</v>
      </c>
      <c r="AJ281" t="s">
        <v>974</v>
      </c>
      <c r="AK281">
        <v>0</v>
      </c>
      <c r="AL281">
        <v>1</v>
      </c>
    </row>
    <row r="282" spans="1:38" x14ac:dyDescent="0.25">
      <c r="A282" t="s">
        <v>975</v>
      </c>
      <c r="B282">
        <v>10268</v>
      </c>
      <c r="C282">
        <v>0</v>
      </c>
      <c r="D282">
        <v>4</v>
      </c>
      <c r="E282">
        <v>1</v>
      </c>
      <c r="F282">
        <v>5</v>
      </c>
      <c r="G282">
        <v>5</v>
      </c>
      <c r="H282">
        <v>3</v>
      </c>
      <c r="I282">
        <v>0</v>
      </c>
      <c r="J282">
        <v>67176</v>
      </c>
      <c r="K282">
        <v>1</v>
      </c>
      <c r="L282">
        <v>20</v>
      </c>
      <c r="M282" t="s">
        <v>66</v>
      </c>
      <c r="N282" t="e" vm="1">
        <v>#VALUE!</v>
      </c>
      <c r="O282">
        <v>2472</v>
      </c>
      <c r="P282" t="s">
        <v>976</v>
      </c>
      <c r="Q282" t="s">
        <v>41</v>
      </c>
      <c r="R282">
        <f t="shared" ca="1" si="12"/>
        <v>49</v>
      </c>
      <c r="S282" t="s">
        <v>99</v>
      </c>
      <c r="T282" t="s">
        <v>43</v>
      </c>
      <c r="U282" t="s">
        <v>44</v>
      </c>
      <c r="V282" t="s">
        <v>45</v>
      </c>
      <c r="W282" t="s">
        <v>977</v>
      </c>
      <c r="X282">
        <f t="shared" ca="1" si="14"/>
        <v>11</v>
      </c>
      <c r="Y282" t="s">
        <v>460</v>
      </c>
      <c r="Z282">
        <f t="shared" ca="1" si="13"/>
        <v>10</v>
      </c>
      <c r="AA282" t="s">
        <v>59</v>
      </c>
      <c r="AB282" t="s">
        <v>48</v>
      </c>
      <c r="AC282" t="s">
        <v>82</v>
      </c>
      <c r="AD282">
        <v>39</v>
      </c>
      <c r="AE282" t="s">
        <v>448</v>
      </c>
      <c r="AF282" t="s">
        <v>63</v>
      </c>
      <c r="AG282">
        <v>4.0999999999999996</v>
      </c>
      <c r="AH282">
        <v>4</v>
      </c>
      <c r="AI282">
        <v>0</v>
      </c>
      <c r="AJ282" t="s">
        <v>978</v>
      </c>
      <c r="AK282">
        <v>0</v>
      </c>
      <c r="AL282">
        <v>15</v>
      </c>
    </row>
    <row r="283" spans="1:38" x14ac:dyDescent="0.25">
      <c r="A283" t="s">
        <v>979</v>
      </c>
      <c r="B283">
        <v>10123</v>
      </c>
      <c r="C283">
        <v>0</v>
      </c>
      <c r="D283">
        <v>2</v>
      </c>
      <c r="E283">
        <v>0</v>
      </c>
      <c r="F283">
        <v>1</v>
      </c>
      <c r="G283">
        <v>5</v>
      </c>
      <c r="H283">
        <v>3</v>
      </c>
      <c r="I283">
        <v>0</v>
      </c>
      <c r="J283">
        <v>56339</v>
      </c>
      <c r="K283">
        <v>0</v>
      </c>
      <c r="L283">
        <v>19</v>
      </c>
      <c r="M283" t="s">
        <v>39</v>
      </c>
      <c r="N283" t="e" vm="1">
        <v>#VALUE!</v>
      </c>
      <c r="O283">
        <v>2093</v>
      </c>
      <c r="P283" t="s">
        <v>980</v>
      </c>
      <c r="Q283" t="s">
        <v>68</v>
      </c>
      <c r="R283">
        <f t="shared" ca="1" si="12"/>
        <v>58</v>
      </c>
      <c r="S283" t="s">
        <v>79</v>
      </c>
      <c r="T283" t="s">
        <v>43</v>
      </c>
      <c r="U283" t="s">
        <v>44</v>
      </c>
      <c r="V283" t="s">
        <v>106</v>
      </c>
      <c r="W283" t="s">
        <v>981</v>
      </c>
      <c r="X283">
        <f t="shared" ca="1" si="14"/>
        <v>5</v>
      </c>
      <c r="Z283" t="str">
        <f t="shared" ca="1" si="13"/>
        <v/>
      </c>
      <c r="AA283" t="s">
        <v>47</v>
      </c>
      <c r="AB283" t="s">
        <v>48</v>
      </c>
      <c r="AC283" t="s">
        <v>108</v>
      </c>
      <c r="AD283">
        <v>12</v>
      </c>
      <c r="AE283" t="s">
        <v>62</v>
      </c>
      <c r="AF283" t="s">
        <v>63</v>
      </c>
      <c r="AG283">
        <v>4.21</v>
      </c>
      <c r="AH283">
        <v>5</v>
      </c>
      <c r="AI283">
        <v>0</v>
      </c>
      <c r="AJ283" t="s">
        <v>152</v>
      </c>
      <c r="AK283">
        <v>0</v>
      </c>
      <c r="AL283">
        <v>4</v>
      </c>
    </row>
    <row r="284" spans="1:38" x14ac:dyDescent="0.25">
      <c r="A284" t="s">
        <v>982</v>
      </c>
      <c r="B284">
        <v>10013</v>
      </c>
      <c r="C284">
        <v>0</v>
      </c>
      <c r="D284">
        <v>3</v>
      </c>
      <c r="E284">
        <v>1</v>
      </c>
      <c r="F284">
        <v>1</v>
      </c>
      <c r="G284">
        <v>6</v>
      </c>
      <c r="H284">
        <v>4</v>
      </c>
      <c r="I284">
        <v>0</v>
      </c>
      <c r="J284">
        <v>64397</v>
      </c>
      <c r="K284">
        <v>0</v>
      </c>
      <c r="L284">
        <v>3</v>
      </c>
      <c r="M284" t="s">
        <v>222</v>
      </c>
      <c r="N284" t="e" vm="26">
        <v>#VALUE!</v>
      </c>
      <c r="O284">
        <v>58782</v>
      </c>
      <c r="P284" t="s">
        <v>983</v>
      </c>
      <c r="Q284" t="s">
        <v>41</v>
      </c>
      <c r="R284">
        <f t="shared" ca="1" si="12"/>
        <v>48</v>
      </c>
      <c r="S284" t="s">
        <v>218</v>
      </c>
      <c r="T284" t="s">
        <v>43</v>
      </c>
      <c r="U284" t="s">
        <v>44</v>
      </c>
      <c r="V284" t="s">
        <v>45</v>
      </c>
      <c r="W284" t="s">
        <v>984</v>
      </c>
      <c r="X284">
        <f t="shared" ca="1" si="14"/>
        <v>13</v>
      </c>
      <c r="Z284" t="str">
        <f t="shared" ca="1" si="13"/>
        <v/>
      </c>
      <c r="AA284" t="s">
        <v>47</v>
      </c>
      <c r="AB284" t="s">
        <v>226</v>
      </c>
      <c r="AC284" t="s">
        <v>271</v>
      </c>
      <c r="AD284">
        <v>21</v>
      </c>
      <c r="AE284" t="s">
        <v>62</v>
      </c>
      <c r="AF284" t="s">
        <v>51</v>
      </c>
      <c r="AG284">
        <v>4.0999999999999996</v>
      </c>
      <c r="AH284">
        <v>3</v>
      </c>
      <c r="AI284">
        <v>0</v>
      </c>
      <c r="AJ284" t="s">
        <v>382</v>
      </c>
      <c r="AK284">
        <v>0</v>
      </c>
      <c r="AL284">
        <v>6</v>
      </c>
    </row>
    <row r="285" spans="1:38" x14ac:dyDescent="0.25">
      <c r="A285" t="s">
        <v>985</v>
      </c>
      <c r="B285">
        <v>10287</v>
      </c>
      <c r="C285">
        <v>0</v>
      </c>
      <c r="D285">
        <v>0</v>
      </c>
      <c r="E285">
        <v>0</v>
      </c>
      <c r="F285">
        <v>1</v>
      </c>
      <c r="G285">
        <v>5</v>
      </c>
      <c r="H285">
        <v>2</v>
      </c>
      <c r="I285">
        <v>0</v>
      </c>
      <c r="J285">
        <v>63025</v>
      </c>
      <c r="K285">
        <v>0</v>
      </c>
      <c r="L285">
        <v>19</v>
      </c>
      <c r="M285" t="s">
        <v>39</v>
      </c>
      <c r="N285" t="e" vm="1">
        <v>#VALUE!</v>
      </c>
      <c r="O285">
        <v>2021</v>
      </c>
      <c r="P285" t="s">
        <v>986</v>
      </c>
      <c r="Q285" t="s">
        <v>68</v>
      </c>
      <c r="R285">
        <f t="shared" ca="1" si="12"/>
        <v>35</v>
      </c>
      <c r="S285" t="s">
        <v>42</v>
      </c>
      <c r="T285" t="s">
        <v>43</v>
      </c>
      <c r="U285" t="s">
        <v>44</v>
      </c>
      <c r="V285" t="s">
        <v>45</v>
      </c>
      <c r="W285" t="s">
        <v>188</v>
      </c>
      <c r="X285">
        <f t="shared" ca="1" si="14"/>
        <v>4</v>
      </c>
      <c r="Z285" t="str">
        <f t="shared" ca="1" si="13"/>
        <v/>
      </c>
      <c r="AA285" t="s">
        <v>47</v>
      </c>
      <c r="AB285" t="s">
        <v>48</v>
      </c>
      <c r="AC285" t="s">
        <v>122</v>
      </c>
      <c r="AD285">
        <v>14</v>
      </c>
      <c r="AE285" t="s">
        <v>50</v>
      </c>
      <c r="AF285" t="s">
        <v>180</v>
      </c>
      <c r="AG285">
        <v>2.44</v>
      </c>
      <c r="AH285">
        <v>5</v>
      </c>
      <c r="AI285">
        <v>0</v>
      </c>
      <c r="AJ285" t="s">
        <v>535</v>
      </c>
      <c r="AK285">
        <v>4</v>
      </c>
      <c r="AL285">
        <v>18</v>
      </c>
    </row>
    <row r="286" spans="1:38" x14ac:dyDescent="0.25">
      <c r="A286" t="s">
        <v>987</v>
      </c>
      <c r="B286">
        <v>10044</v>
      </c>
      <c r="C286">
        <v>1</v>
      </c>
      <c r="D286">
        <v>1</v>
      </c>
      <c r="E286">
        <v>1</v>
      </c>
      <c r="F286">
        <v>5</v>
      </c>
      <c r="G286">
        <v>3</v>
      </c>
      <c r="H286">
        <v>3</v>
      </c>
      <c r="I286">
        <v>0</v>
      </c>
      <c r="J286">
        <v>75281</v>
      </c>
      <c r="K286">
        <v>1</v>
      </c>
      <c r="L286">
        <v>15</v>
      </c>
      <c r="M286" t="s">
        <v>426</v>
      </c>
      <c r="N286" t="e" vm="1">
        <v>#VALUE!</v>
      </c>
      <c r="O286">
        <v>1420</v>
      </c>
      <c r="P286" t="s">
        <v>988</v>
      </c>
      <c r="Q286" t="s">
        <v>41</v>
      </c>
      <c r="R286">
        <f t="shared" ca="1" si="12"/>
        <v>29</v>
      </c>
      <c r="S286" t="s">
        <v>56</v>
      </c>
      <c r="T286" t="s">
        <v>43</v>
      </c>
      <c r="U286" t="s">
        <v>44</v>
      </c>
      <c r="V286" t="s">
        <v>45</v>
      </c>
      <c r="W286" t="s">
        <v>114</v>
      </c>
      <c r="X286">
        <f t="shared" ca="1" si="14"/>
        <v>4</v>
      </c>
      <c r="Y286" t="s">
        <v>712</v>
      </c>
      <c r="Z286">
        <f t="shared" ca="1" si="13"/>
        <v>362</v>
      </c>
      <c r="AA286" t="s">
        <v>59</v>
      </c>
      <c r="AB286" t="s">
        <v>60</v>
      </c>
      <c r="AC286" t="s">
        <v>115</v>
      </c>
      <c r="AD286">
        <v>7</v>
      </c>
      <c r="AE286" t="s">
        <v>179</v>
      </c>
      <c r="AF286" t="s">
        <v>63</v>
      </c>
      <c r="AG286">
        <v>5</v>
      </c>
      <c r="AH286">
        <v>3</v>
      </c>
      <c r="AI286">
        <v>5</v>
      </c>
      <c r="AJ286" t="s">
        <v>553</v>
      </c>
      <c r="AK286">
        <v>0</v>
      </c>
      <c r="AL286">
        <v>11</v>
      </c>
    </row>
    <row r="287" spans="1:38" x14ac:dyDescent="0.25">
      <c r="A287" t="s">
        <v>989</v>
      </c>
      <c r="B287">
        <v>10102</v>
      </c>
      <c r="C287">
        <v>0</v>
      </c>
      <c r="D287">
        <v>0</v>
      </c>
      <c r="E287">
        <v>1</v>
      </c>
      <c r="F287">
        <v>5</v>
      </c>
      <c r="G287">
        <v>4</v>
      </c>
      <c r="H287">
        <v>3</v>
      </c>
      <c r="I287">
        <v>1</v>
      </c>
      <c r="J287">
        <v>100416</v>
      </c>
      <c r="K287">
        <v>1</v>
      </c>
      <c r="L287">
        <v>24</v>
      </c>
      <c r="M287" t="s">
        <v>91</v>
      </c>
      <c r="N287" t="e" vm="1">
        <v>#VALUE!</v>
      </c>
      <c r="O287">
        <v>2451</v>
      </c>
      <c r="P287" t="s">
        <v>990</v>
      </c>
      <c r="Q287" t="s">
        <v>41</v>
      </c>
      <c r="R287">
        <f t="shared" ca="1" si="12"/>
        <v>34</v>
      </c>
      <c r="S287" t="s">
        <v>42</v>
      </c>
      <c r="T287" t="s">
        <v>280</v>
      </c>
      <c r="U287" t="s">
        <v>44</v>
      </c>
      <c r="V287" t="s">
        <v>106</v>
      </c>
      <c r="W287" t="s">
        <v>981</v>
      </c>
      <c r="X287">
        <f t="shared" ca="1" si="14"/>
        <v>5</v>
      </c>
      <c r="Y287" t="s">
        <v>991</v>
      </c>
      <c r="Z287">
        <f t="shared" ca="1" si="13"/>
        <v>574</v>
      </c>
      <c r="AA287" t="s">
        <v>59</v>
      </c>
      <c r="AB287" t="s">
        <v>94</v>
      </c>
      <c r="AC287" t="s">
        <v>95</v>
      </c>
      <c r="AD287">
        <v>10</v>
      </c>
      <c r="AE287" t="s">
        <v>109</v>
      </c>
      <c r="AF287" t="s">
        <v>63</v>
      </c>
      <c r="AG287">
        <v>4.5999999999999996</v>
      </c>
      <c r="AH287">
        <v>3</v>
      </c>
      <c r="AI287">
        <v>4</v>
      </c>
      <c r="AJ287" t="s">
        <v>992</v>
      </c>
      <c r="AK287">
        <v>0</v>
      </c>
      <c r="AL287">
        <v>9</v>
      </c>
    </row>
    <row r="288" spans="1:38" x14ac:dyDescent="0.25">
      <c r="A288" t="s">
        <v>993</v>
      </c>
      <c r="B288">
        <v>10270</v>
      </c>
      <c r="C288">
        <v>0</v>
      </c>
      <c r="D288">
        <v>0</v>
      </c>
      <c r="E288">
        <v>0</v>
      </c>
      <c r="F288">
        <v>5</v>
      </c>
      <c r="G288">
        <v>5</v>
      </c>
      <c r="H288">
        <v>3</v>
      </c>
      <c r="I288">
        <v>0</v>
      </c>
      <c r="J288">
        <v>74813</v>
      </c>
      <c r="K288">
        <v>1</v>
      </c>
      <c r="L288">
        <v>20</v>
      </c>
      <c r="M288" t="s">
        <v>66</v>
      </c>
      <c r="N288" t="e" vm="1">
        <v>#VALUE!</v>
      </c>
      <c r="O288">
        <v>1778</v>
      </c>
      <c r="P288" t="s">
        <v>994</v>
      </c>
      <c r="Q288" t="s">
        <v>68</v>
      </c>
      <c r="R288">
        <f t="shared" ca="1" si="12"/>
        <v>38</v>
      </c>
      <c r="S288" t="s">
        <v>42</v>
      </c>
      <c r="T288" t="s">
        <v>43</v>
      </c>
      <c r="U288" t="s">
        <v>44</v>
      </c>
      <c r="V288" t="s">
        <v>45</v>
      </c>
      <c r="W288" t="s">
        <v>120</v>
      </c>
      <c r="X288">
        <f t="shared" ca="1" si="14"/>
        <v>8</v>
      </c>
      <c r="Y288" t="s">
        <v>189</v>
      </c>
      <c r="Z288">
        <f t="shared" ca="1" si="13"/>
        <v>15</v>
      </c>
      <c r="AA288" t="s">
        <v>59</v>
      </c>
      <c r="AB288" t="s">
        <v>48</v>
      </c>
      <c r="AC288" t="s">
        <v>88</v>
      </c>
      <c r="AD288">
        <v>11</v>
      </c>
      <c r="AE288" t="s">
        <v>50</v>
      </c>
      <c r="AF288" t="s">
        <v>63</v>
      </c>
      <c r="AG288">
        <v>4.4000000000000004</v>
      </c>
      <c r="AH288">
        <v>3</v>
      </c>
      <c r="AI288">
        <v>0</v>
      </c>
      <c r="AJ288" t="s">
        <v>381</v>
      </c>
      <c r="AK288">
        <v>0</v>
      </c>
      <c r="AL288">
        <v>5</v>
      </c>
    </row>
    <row r="289" spans="1:38" x14ac:dyDescent="0.25">
      <c r="A289" t="s">
        <v>995</v>
      </c>
      <c r="B289">
        <v>10045</v>
      </c>
      <c r="C289">
        <v>1</v>
      </c>
      <c r="D289">
        <v>1</v>
      </c>
      <c r="E289">
        <v>1</v>
      </c>
      <c r="F289">
        <v>1</v>
      </c>
      <c r="G289">
        <v>3</v>
      </c>
      <c r="H289">
        <v>3</v>
      </c>
      <c r="I289">
        <v>0</v>
      </c>
      <c r="J289">
        <v>76029</v>
      </c>
      <c r="K289">
        <v>0</v>
      </c>
      <c r="L289">
        <v>15</v>
      </c>
      <c r="M289" t="s">
        <v>426</v>
      </c>
      <c r="N289" t="e" vm="1">
        <v>#VALUE!</v>
      </c>
      <c r="O289">
        <v>2343</v>
      </c>
      <c r="P289" t="s">
        <v>996</v>
      </c>
      <c r="Q289" t="s">
        <v>41</v>
      </c>
      <c r="R289">
        <f t="shared" ca="1" si="12"/>
        <v>56</v>
      </c>
      <c r="S289" t="s">
        <v>56</v>
      </c>
      <c r="T289" t="s">
        <v>155</v>
      </c>
      <c r="U289" t="s">
        <v>44</v>
      </c>
      <c r="V289" t="s">
        <v>45</v>
      </c>
      <c r="W289" t="s">
        <v>57</v>
      </c>
      <c r="X289">
        <f t="shared" ca="1" si="14"/>
        <v>3</v>
      </c>
      <c r="Z289" t="str">
        <f t="shared" ca="1" si="13"/>
        <v/>
      </c>
      <c r="AA289" t="s">
        <v>47</v>
      </c>
      <c r="AB289" t="s">
        <v>60</v>
      </c>
      <c r="AC289" t="s">
        <v>115</v>
      </c>
      <c r="AD289">
        <v>7</v>
      </c>
      <c r="AE289" t="s">
        <v>102</v>
      </c>
      <c r="AF289" t="s">
        <v>63</v>
      </c>
      <c r="AG289">
        <v>5</v>
      </c>
      <c r="AH289">
        <v>4</v>
      </c>
      <c r="AI289">
        <v>7</v>
      </c>
      <c r="AJ289" t="s">
        <v>152</v>
      </c>
      <c r="AK289">
        <v>0</v>
      </c>
      <c r="AL289">
        <v>8</v>
      </c>
    </row>
    <row r="290" spans="1:38" x14ac:dyDescent="0.25">
      <c r="A290" t="s">
        <v>997</v>
      </c>
      <c r="B290">
        <v>10205</v>
      </c>
      <c r="C290">
        <v>1</v>
      </c>
      <c r="D290">
        <v>1</v>
      </c>
      <c r="E290">
        <v>0</v>
      </c>
      <c r="F290">
        <v>1</v>
      </c>
      <c r="G290">
        <v>6</v>
      </c>
      <c r="H290">
        <v>3</v>
      </c>
      <c r="I290">
        <v>0</v>
      </c>
      <c r="J290">
        <v>57859</v>
      </c>
      <c r="K290">
        <v>0</v>
      </c>
      <c r="L290">
        <v>3</v>
      </c>
      <c r="M290" t="s">
        <v>222</v>
      </c>
      <c r="N290" t="e" vm="27">
        <v>#VALUE!</v>
      </c>
      <c r="O290">
        <v>85006</v>
      </c>
      <c r="P290" t="s">
        <v>998</v>
      </c>
      <c r="Q290" t="s">
        <v>68</v>
      </c>
      <c r="R290">
        <f t="shared" ca="1" si="12"/>
        <v>26</v>
      </c>
      <c r="S290" t="s">
        <v>56</v>
      </c>
      <c r="T290" t="s">
        <v>43</v>
      </c>
      <c r="U290" t="s">
        <v>44</v>
      </c>
      <c r="V290" t="s">
        <v>134</v>
      </c>
      <c r="W290" t="s">
        <v>46</v>
      </c>
      <c r="X290">
        <f t="shared" ca="1" si="14"/>
        <v>7</v>
      </c>
      <c r="Z290" t="str">
        <f t="shared" ca="1" si="13"/>
        <v/>
      </c>
      <c r="AA290" t="s">
        <v>47</v>
      </c>
      <c r="AB290" t="s">
        <v>226</v>
      </c>
      <c r="AC290" t="s">
        <v>227</v>
      </c>
      <c r="AD290">
        <v>17</v>
      </c>
      <c r="AE290" t="s">
        <v>62</v>
      </c>
      <c r="AF290" t="s">
        <v>63</v>
      </c>
      <c r="AG290">
        <v>2.81</v>
      </c>
      <c r="AH290">
        <v>3</v>
      </c>
      <c r="AI290">
        <v>0</v>
      </c>
      <c r="AJ290" t="s">
        <v>52</v>
      </c>
      <c r="AK290">
        <v>0</v>
      </c>
      <c r="AL290">
        <v>16</v>
      </c>
    </row>
    <row r="291" spans="1:38" x14ac:dyDescent="0.25">
      <c r="A291" t="s">
        <v>999</v>
      </c>
      <c r="B291">
        <v>10014</v>
      </c>
      <c r="C291">
        <v>0</v>
      </c>
      <c r="D291">
        <v>2</v>
      </c>
      <c r="E291">
        <v>1</v>
      </c>
      <c r="F291">
        <v>5</v>
      </c>
      <c r="G291">
        <v>5</v>
      </c>
      <c r="H291">
        <v>4</v>
      </c>
      <c r="I291">
        <v>0</v>
      </c>
      <c r="J291">
        <v>58523</v>
      </c>
      <c r="K291">
        <v>1</v>
      </c>
      <c r="L291">
        <v>19</v>
      </c>
      <c r="M291" t="s">
        <v>39</v>
      </c>
      <c r="N291" t="e" vm="1">
        <v>#VALUE!</v>
      </c>
      <c r="O291">
        <v>2171</v>
      </c>
      <c r="P291" t="s">
        <v>1000</v>
      </c>
      <c r="Q291" t="s">
        <v>41</v>
      </c>
      <c r="R291">
        <f t="shared" ca="1" si="12"/>
        <v>37</v>
      </c>
      <c r="S291" t="s">
        <v>79</v>
      </c>
      <c r="T291" t="s">
        <v>43</v>
      </c>
      <c r="U291" t="s">
        <v>44</v>
      </c>
      <c r="V291" t="s">
        <v>45</v>
      </c>
      <c r="W291" t="s">
        <v>534</v>
      </c>
      <c r="X291">
        <f t="shared" ca="1" si="14"/>
        <v>6</v>
      </c>
      <c r="Y291" t="s">
        <v>1001</v>
      </c>
      <c r="Z291">
        <f t="shared" ca="1" si="13"/>
        <v>73</v>
      </c>
      <c r="AA291" t="s">
        <v>59</v>
      </c>
      <c r="AB291" t="s">
        <v>48</v>
      </c>
      <c r="AC291" t="s">
        <v>70</v>
      </c>
      <c r="AD291">
        <v>20</v>
      </c>
      <c r="AE291" t="s">
        <v>50</v>
      </c>
      <c r="AF291" t="s">
        <v>51</v>
      </c>
      <c r="AG291">
        <v>4.5</v>
      </c>
      <c r="AH291">
        <v>5</v>
      </c>
      <c r="AI291">
        <v>0</v>
      </c>
      <c r="AJ291" t="s">
        <v>84</v>
      </c>
      <c r="AK291">
        <v>0</v>
      </c>
      <c r="AL291">
        <v>15</v>
      </c>
    </row>
    <row r="292" spans="1:38" x14ac:dyDescent="0.25">
      <c r="A292" t="s">
        <v>1002</v>
      </c>
      <c r="B292">
        <v>10144</v>
      </c>
      <c r="C292">
        <v>0</v>
      </c>
      <c r="D292">
        <v>2</v>
      </c>
      <c r="E292">
        <v>1</v>
      </c>
      <c r="F292">
        <v>1</v>
      </c>
      <c r="G292">
        <v>5</v>
      </c>
      <c r="H292">
        <v>3</v>
      </c>
      <c r="I292">
        <v>0</v>
      </c>
      <c r="J292">
        <v>88976</v>
      </c>
      <c r="K292">
        <v>0</v>
      </c>
      <c r="L292">
        <v>17</v>
      </c>
      <c r="M292" t="s">
        <v>198</v>
      </c>
      <c r="N292" t="e" vm="1">
        <v>#VALUE!</v>
      </c>
      <c r="O292">
        <v>2169</v>
      </c>
      <c r="P292" t="s">
        <v>1003</v>
      </c>
      <c r="Q292" t="s">
        <v>41</v>
      </c>
      <c r="R292">
        <f t="shared" ca="1" si="12"/>
        <v>54</v>
      </c>
      <c r="S292" t="s">
        <v>79</v>
      </c>
      <c r="T292" t="s">
        <v>43</v>
      </c>
      <c r="U292" t="s">
        <v>44</v>
      </c>
      <c r="V292" t="s">
        <v>45</v>
      </c>
      <c r="W292" t="s">
        <v>1004</v>
      </c>
      <c r="X292">
        <f t="shared" ca="1" si="14"/>
        <v>7</v>
      </c>
      <c r="Z292" t="str">
        <f t="shared" ca="1" si="13"/>
        <v/>
      </c>
      <c r="AA292" t="s">
        <v>47</v>
      </c>
      <c r="AB292" t="s">
        <v>48</v>
      </c>
      <c r="AC292" t="s">
        <v>201</v>
      </c>
      <c r="AD292">
        <v>2</v>
      </c>
      <c r="AE292" t="s">
        <v>102</v>
      </c>
      <c r="AF292" t="s">
        <v>63</v>
      </c>
      <c r="AG292">
        <v>3.93</v>
      </c>
      <c r="AH292">
        <v>3</v>
      </c>
      <c r="AI292">
        <v>0</v>
      </c>
      <c r="AJ292" t="s">
        <v>176</v>
      </c>
      <c r="AK292">
        <v>0</v>
      </c>
      <c r="AL292">
        <v>19</v>
      </c>
    </row>
    <row r="293" spans="1:38" x14ac:dyDescent="0.25">
      <c r="A293" t="s">
        <v>1005</v>
      </c>
      <c r="B293">
        <v>10253</v>
      </c>
      <c r="C293">
        <v>0</v>
      </c>
      <c r="D293">
        <v>0</v>
      </c>
      <c r="E293">
        <v>1</v>
      </c>
      <c r="F293">
        <v>1</v>
      </c>
      <c r="G293">
        <v>6</v>
      </c>
      <c r="H293">
        <v>3</v>
      </c>
      <c r="I293">
        <v>0</v>
      </c>
      <c r="J293">
        <v>55875</v>
      </c>
      <c r="K293">
        <v>0</v>
      </c>
      <c r="L293">
        <v>3</v>
      </c>
      <c r="M293" t="s">
        <v>222</v>
      </c>
      <c r="N293" t="e" vm="28">
        <v>#VALUE!</v>
      </c>
      <c r="O293">
        <v>4063</v>
      </c>
      <c r="P293" t="s">
        <v>1006</v>
      </c>
      <c r="Q293" t="s">
        <v>41</v>
      </c>
      <c r="R293">
        <f t="shared" ca="1" si="12"/>
        <v>35</v>
      </c>
      <c r="S293" t="s">
        <v>42</v>
      </c>
      <c r="T293" t="s">
        <v>43</v>
      </c>
      <c r="U293" t="s">
        <v>44</v>
      </c>
      <c r="V293" t="s">
        <v>165</v>
      </c>
      <c r="W293" t="s">
        <v>231</v>
      </c>
      <c r="X293">
        <f t="shared" ca="1" si="14"/>
        <v>6</v>
      </c>
      <c r="Z293" t="str">
        <f t="shared" ca="1" si="13"/>
        <v/>
      </c>
      <c r="AA293" t="s">
        <v>47</v>
      </c>
      <c r="AB293" t="s">
        <v>226</v>
      </c>
      <c r="AC293" t="s">
        <v>227</v>
      </c>
      <c r="AD293">
        <v>17</v>
      </c>
      <c r="AE293" t="s">
        <v>368</v>
      </c>
      <c r="AF293" t="s">
        <v>63</v>
      </c>
      <c r="AG293">
        <v>4.5</v>
      </c>
      <c r="AH293">
        <v>4</v>
      </c>
      <c r="AI293">
        <v>0</v>
      </c>
      <c r="AJ293" t="s">
        <v>373</v>
      </c>
      <c r="AK293">
        <v>0</v>
      </c>
      <c r="AL293">
        <v>11</v>
      </c>
    </row>
    <row r="294" spans="1:38" x14ac:dyDescent="0.25">
      <c r="A294" t="s">
        <v>1007</v>
      </c>
      <c r="B294">
        <v>10118</v>
      </c>
      <c r="C294">
        <v>1</v>
      </c>
      <c r="D294">
        <v>1</v>
      </c>
      <c r="E294">
        <v>1</v>
      </c>
      <c r="F294">
        <v>4</v>
      </c>
      <c r="G294">
        <v>3</v>
      </c>
      <c r="H294">
        <v>3</v>
      </c>
      <c r="I294">
        <v>0</v>
      </c>
      <c r="J294">
        <v>113999</v>
      </c>
      <c r="K294">
        <v>1</v>
      </c>
      <c r="L294">
        <v>8</v>
      </c>
      <c r="M294" t="s">
        <v>158</v>
      </c>
      <c r="N294" t="e" vm="1">
        <v>#VALUE!</v>
      </c>
      <c r="O294">
        <v>1960</v>
      </c>
      <c r="P294" t="s">
        <v>1008</v>
      </c>
      <c r="Q294" t="s">
        <v>41</v>
      </c>
      <c r="R294">
        <f t="shared" ca="1" si="12"/>
        <v>30</v>
      </c>
      <c r="S294" t="s">
        <v>56</v>
      </c>
      <c r="T294" t="s">
        <v>43</v>
      </c>
      <c r="U294" t="s">
        <v>44</v>
      </c>
      <c r="V294" t="s">
        <v>106</v>
      </c>
      <c r="W294" t="s">
        <v>194</v>
      </c>
      <c r="X294">
        <f t="shared" ca="1" si="14"/>
        <v>4</v>
      </c>
      <c r="Y294" t="s">
        <v>1009</v>
      </c>
      <c r="Z294">
        <f t="shared" ca="1" si="13"/>
        <v>244</v>
      </c>
      <c r="AA294" t="s">
        <v>59</v>
      </c>
      <c r="AB294" t="s">
        <v>60</v>
      </c>
      <c r="AC294" t="s">
        <v>61</v>
      </c>
      <c r="AD294">
        <v>4</v>
      </c>
      <c r="AE294" t="s">
        <v>102</v>
      </c>
      <c r="AF294" t="s">
        <v>63</v>
      </c>
      <c r="AG294">
        <v>4.33</v>
      </c>
      <c r="AH294">
        <v>3</v>
      </c>
      <c r="AI294">
        <v>7</v>
      </c>
      <c r="AJ294" t="s">
        <v>361</v>
      </c>
      <c r="AK294">
        <v>0</v>
      </c>
      <c r="AL294">
        <v>9</v>
      </c>
    </row>
    <row r="295" spans="1:38" x14ac:dyDescent="0.25">
      <c r="A295" t="s">
        <v>1010</v>
      </c>
      <c r="B295">
        <v>10022</v>
      </c>
      <c r="C295">
        <v>1</v>
      </c>
      <c r="D295">
        <v>1</v>
      </c>
      <c r="E295">
        <v>0</v>
      </c>
      <c r="F295">
        <v>4</v>
      </c>
      <c r="G295">
        <v>5</v>
      </c>
      <c r="H295">
        <v>4</v>
      </c>
      <c r="I295">
        <v>0</v>
      </c>
      <c r="J295">
        <v>49773</v>
      </c>
      <c r="K295">
        <v>1</v>
      </c>
      <c r="L295">
        <v>19</v>
      </c>
      <c r="M295" t="s">
        <v>39</v>
      </c>
      <c r="N295" t="e" vm="1">
        <v>#VALUE!</v>
      </c>
      <c r="O295">
        <v>2747</v>
      </c>
      <c r="P295" t="s">
        <v>1011</v>
      </c>
      <c r="Q295" t="s">
        <v>68</v>
      </c>
      <c r="R295">
        <f t="shared" ca="1" si="12"/>
        <v>38</v>
      </c>
      <c r="S295" t="s">
        <v>56</v>
      </c>
      <c r="T295" t="s">
        <v>43</v>
      </c>
      <c r="U295" t="s">
        <v>44</v>
      </c>
      <c r="V295" t="s">
        <v>45</v>
      </c>
      <c r="W295" t="s">
        <v>604</v>
      </c>
      <c r="X295">
        <f t="shared" ca="1" si="14"/>
        <v>7</v>
      </c>
      <c r="Y295" t="s">
        <v>1012</v>
      </c>
      <c r="Z295">
        <f t="shared" ca="1" si="13"/>
        <v>559</v>
      </c>
      <c r="AA295" t="s">
        <v>59</v>
      </c>
      <c r="AB295" t="s">
        <v>48</v>
      </c>
      <c r="AC295" t="s">
        <v>136</v>
      </c>
      <c r="AD295">
        <v>18</v>
      </c>
      <c r="AE295" t="s">
        <v>83</v>
      </c>
      <c r="AF295" t="s">
        <v>51</v>
      </c>
      <c r="AG295">
        <v>4.3</v>
      </c>
      <c r="AH295">
        <v>5</v>
      </c>
      <c r="AI295">
        <v>0</v>
      </c>
      <c r="AJ295" t="s">
        <v>1013</v>
      </c>
      <c r="AK295">
        <v>0</v>
      </c>
      <c r="AL295">
        <v>18</v>
      </c>
    </row>
    <row r="296" spans="1:38" x14ac:dyDescent="0.25">
      <c r="A296" t="s">
        <v>1014</v>
      </c>
      <c r="B296">
        <v>10183</v>
      </c>
      <c r="C296">
        <v>0</v>
      </c>
      <c r="D296">
        <v>0</v>
      </c>
      <c r="E296">
        <v>0</v>
      </c>
      <c r="F296">
        <v>2</v>
      </c>
      <c r="G296">
        <v>5</v>
      </c>
      <c r="H296">
        <v>3</v>
      </c>
      <c r="I296">
        <v>0</v>
      </c>
      <c r="J296">
        <v>62068</v>
      </c>
      <c r="K296">
        <v>0</v>
      </c>
      <c r="L296">
        <v>19</v>
      </c>
      <c r="M296" t="s">
        <v>39</v>
      </c>
      <c r="N296" t="e" vm="1">
        <v>#VALUE!</v>
      </c>
      <c r="O296">
        <v>2124</v>
      </c>
      <c r="P296" t="s">
        <v>1015</v>
      </c>
      <c r="Q296" t="s">
        <v>68</v>
      </c>
      <c r="R296">
        <f t="shared" ca="1" si="12"/>
        <v>37</v>
      </c>
      <c r="S296" t="s">
        <v>42</v>
      </c>
      <c r="T296" t="s">
        <v>43</v>
      </c>
      <c r="U296" t="s">
        <v>44</v>
      </c>
      <c r="V296" t="s">
        <v>45</v>
      </c>
      <c r="W296" t="s">
        <v>1016</v>
      </c>
      <c r="X296">
        <f t="shared" ca="1" si="14"/>
        <v>3</v>
      </c>
      <c r="Z296" t="str">
        <f t="shared" ca="1" si="13"/>
        <v/>
      </c>
      <c r="AA296" t="s">
        <v>47</v>
      </c>
      <c r="AB296" t="s">
        <v>48</v>
      </c>
      <c r="AC296" t="s">
        <v>49</v>
      </c>
      <c r="AD296">
        <v>22</v>
      </c>
      <c r="AE296" t="s">
        <v>50</v>
      </c>
      <c r="AF296" t="s">
        <v>63</v>
      </c>
      <c r="AG296">
        <v>3.21</v>
      </c>
      <c r="AH296">
        <v>3</v>
      </c>
      <c r="AI296">
        <v>0</v>
      </c>
      <c r="AJ296" t="s">
        <v>369</v>
      </c>
      <c r="AK296">
        <v>0</v>
      </c>
      <c r="AL296">
        <v>7</v>
      </c>
    </row>
    <row r="297" spans="1:38" x14ac:dyDescent="0.25">
      <c r="A297" t="s">
        <v>1017</v>
      </c>
      <c r="B297">
        <v>10190</v>
      </c>
      <c r="C297">
        <v>0</v>
      </c>
      <c r="D297">
        <v>0</v>
      </c>
      <c r="E297">
        <v>1</v>
      </c>
      <c r="F297">
        <v>1</v>
      </c>
      <c r="G297">
        <v>5</v>
      </c>
      <c r="H297">
        <v>3</v>
      </c>
      <c r="I297">
        <v>0</v>
      </c>
      <c r="J297">
        <v>66541</v>
      </c>
      <c r="K297">
        <v>0</v>
      </c>
      <c r="L297">
        <v>20</v>
      </c>
      <c r="M297" t="s">
        <v>66</v>
      </c>
      <c r="N297" t="e" vm="1">
        <v>#VALUE!</v>
      </c>
      <c r="O297">
        <v>2459</v>
      </c>
      <c r="P297" t="s">
        <v>1018</v>
      </c>
      <c r="Q297" t="s">
        <v>41</v>
      </c>
      <c r="R297">
        <f t="shared" ca="1" si="12"/>
        <v>43</v>
      </c>
      <c r="S297" t="s">
        <v>42</v>
      </c>
      <c r="T297" t="s">
        <v>43</v>
      </c>
      <c r="U297" t="s">
        <v>44</v>
      </c>
      <c r="V297" t="s">
        <v>106</v>
      </c>
      <c r="W297" t="s">
        <v>254</v>
      </c>
      <c r="X297">
        <f t="shared" ca="1" si="14"/>
        <v>4</v>
      </c>
      <c r="Z297" t="str">
        <f t="shared" ca="1" si="13"/>
        <v/>
      </c>
      <c r="AA297" t="s">
        <v>47</v>
      </c>
      <c r="AB297" t="s">
        <v>48</v>
      </c>
      <c r="AC297" t="s">
        <v>101</v>
      </c>
      <c r="AD297">
        <v>19</v>
      </c>
      <c r="AE297" t="s">
        <v>102</v>
      </c>
      <c r="AF297" t="s">
        <v>63</v>
      </c>
      <c r="AG297">
        <v>3.11</v>
      </c>
      <c r="AH297">
        <v>5</v>
      </c>
      <c r="AI297">
        <v>0</v>
      </c>
      <c r="AJ297" t="s">
        <v>257</v>
      </c>
      <c r="AK297">
        <v>0</v>
      </c>
      <c r="AL297">
        <v>4</v>
      </c>
    </row>
    <row r="298" spans="1:38" x14ac:dyDescent="0.25">
      <c r="A298" t="s">
        <v>1019</v>
      </c>
      <c r="B298">
        <v>10274</v>
      </c>
      <c r="C298">
        <v>1</v>
      </c>
      <c r="D298">
        <v>1</v>
      </c>
      <c r="E298">
        <v>0</v>
      </c>
      <c r="F298">
        <v>5</v>
      </c>
      <c r="G298">
        <v>5</v>
      </c>
      <c r="H298">
        <v>3</v>
      </c>
      <c r="I298">
        <v>1</v>
      </c>
      <c r="J298">
        <v>80512</v>
      </c>
      <c r="K298">
        <v>1</v>
      </c>
      <c r="L298">
        <v>18</v>
      </c>
      <c r="M298" t="s">
        <v>198</v>
      </c>
      <c r="N298" t="e" vm="1">
        <v>#VALUE!</v>
      </c>
      <c r="O298">
        <v>2478</v>
      </c>
      <c r="P298" t="s">
        <v>1020</v>
      </c>
      <c r="Q298" t="s">
        <v>68</v>
      </c>
      <c r="R298">
        <f t="shared" ca="1" si="12"/>
        <v>68</v>
      </c>
      <c r="S298" t="s">
        <v>56</v>
      </c>
      <c r="T298" t="s">
        <v>43</v>
      </c>
      <c r="U298" t="s">
        <v>44</v>
      </c>
      <c r="V298" t="s">
        <v>106</v>
      </c>
      <c r="W298" t="s">
        <v>604</v>
      </c>
      <c r="X298">
        <f t="shared" ca="1" si="14"/>
        <v>7</v>
      </c>
      <c r="Y298" t="s">
        <v>1021</v>
      </c>
      <c r="Z298" t="str">
        <f t="shared" ca="1" si="13"/>
        <v/>
      </c>
      <c r="AA298" t="s">
        <v>59</v>
      </c>
      <c r="AB298" t="s">
        <v>48</v>
      </c>
      <c r="AC298" t="s">
        <v>201</v>
      </c>
      <c r="AD298">
        <v>2</v>
      </c>
      <c r="AE298" t="s">
        <v>109</v>
      </c>
      <c r="AF298" t="s">
        <v>63</v>
      </c>
      <c r="AG298">
        <v>4.5</v>
      </c>
      <c r="AH298">
        <v>3</v>
      </c>
      <c r="AI298">
        <v>0</v>
      </c>
      <c r="AJ298" t="s">
        <v>1022</v>
      </c>
      <c r="AK298">
        <v>0</v>
      </c>
      <c r="AL298">
        <v>5</v>
      </c>
    </row>
    <row r="299" spans="1:38" x14ac:dyDescent="0.25">
      <c r="A299" t="s">
        <v>1023</v>
      </c>
      <c r="B299">
        <v>10293</v>
      </c>
      <c r="C299">
        <v>0</v>
      </c>
      <c r="D299">
        <v>0</v>
      </c>
      <c r="E299">
        <v>0</v>
      </c>
      <c r="F299">
        <v>5</v>
      </c>
      <c r="G299">
        <v>5</v>
      </c>
      <c r="H299">
        <v>2</v>
      </c>
      <c r="I299">
        <v>0</v>
      </c>
      <c r="J299">
        <v>50274</v>
      </c>
      <c r="K299">
        <v>1</v>
      </c>
      <c r="L299">
        <v>19</v>
      </c>
      <c r="M299" t="s">
        <v>39</v>
      </c>
      <c r="N299" t="e" vm="1">
        <v>#VALUE!</v>
      </c>
      <c r="O299">
        <v>1887</v>
      </c>
      <c r="P299" t="s">
        <v>1024</v>
      </c>
      <c r="Q299" t="s">
        <v>68</v>
      </c>
      <c r="R299">
        <f t="shared" ca="1" si="12"/>
        <v>36</v>
      </c>
      <c r="S299" t="s">
        <v>42</v>
      </c>
      <c r="T299" t="s">
        <v>43</v>
      </c>
      <c r="U299" t="s">
        <v>44</v>
      </c>
      <c r="V299" t="s">
        <v>45</v>
      </c>
      <c r="W299" t="s">
        <v>534</v>
      </c>
      <c r="X299">
        <f t="shared" ca="1" si="14"/>
        <v>6</v>
      </c>
      <c r="Y299" t="s">
        <v>1025</v>
      </c>
      <c r="Z299">
        <f t="shared" ca="1" si="13"/>
        <v>317</v>
      </c>
      <c r="AA299" t="s">
        <v>59</v>
      </c>
      <c r="AB299" t="s">
        <v>48</v>
      </c>
      <c r="AC299" t="s">
        <v>75</v>
      </c>
      <c r="AD299">
        <v>16</v>
      </c>
      <c r="AE299" t="s">
        <v>179</v>
      </c>
      <c r="AF299" t="s">
        <v>180</v>
      </c>
      <c r="AG299">
        <v>2.5</v>
      </c>
      <c r="AH299">
        <v>3</v>
      </c>
      <c r="AI299">
        <v>0</v>
      </c>
      <c r="AJ299" t="s">
        <v>1026</v>
      </c>
      <c r="AK299">
        <v>6</v>
      </c>
      <c r="AL299">
        <v>13</v>
      </c>
    </row>
    <row r="300" spans="1:38" x14ac:dyDescent="0.25">
      <c r="A300" t="s">
        <v>1027</v>
      </c>
      <c r="B300">
        <v>10172</v>
      </c>
      <c r="C300">
        <v>0</v>
      </c>
      <c r="D300">
        <v>0</v>
      </c>
      <c r="E300">
        <v>1</v>
      </c>
      <c r="F300">
        <v>1</v>
      </c>
      <c r="G300">
        <v>3</v>
      </c>
      <c r="H300">
        <v>3</v>
      </c>
      <c r="I300">
        <v>0</v>
      </c>
      <c r="J300">
        <v>84903</v>
      </c>
      <c r="K300">
        <v>0</v>
      </c>
      <c r="L300">
        <v>22</v>
      </c>
      <c r="M300" t="s">
        <v>637</v>
      </c>
      <c r="N300" t="e" vm="1">
        <v>#VALUE!</v>
      </c>
      <c r="O300">
        <v>1887</v>
      </c>
      <c r="P300" t="s">
        <v>1028</v>
      </c>
      <c r="Q300" t="s">
        <v>41</v>
      </c>
      <c r="R300">
        <f t="shared" ca="1" si="12"/>
        <v>41</v>
      </c>
      <c r="S300" t="s">
        <v>42</v>
      </c>
      <c r="T300" t="s">
        <v>43</v>
      </c>
      <c r="U300" t="s">
        <v>44</v>
      </c>
      <c r="V300" t="s">
        <v>165</v>
      </c>
      <c r="W300" t="s">
        <v>361</v>
      </c>
      <c r="X300">
        <f t="shared" ca="1" si="14"/>
        <v>2</v>
      </c>
      <c r="Z300" t="str">
        <f t="shared" ca="1" si="13"/>
        <v/>
      </c>
      <c r="AA300" t="s">
        <v>47</v>
      </c>
      <c r="AB300" t="s">
        <v>60</v>
      </c>
      <c r="AC300" t="s">
        <v>362</v>
      </c>
      <c r="AD300">
        <v>13</v>
      </c>
      <c r="AE300" t="s">
        <v>62</v>
      </c>
      <c r="AF300" t="s">
        <v>63</v>
      </c>
      <c r="AG300">
        <v>3.42</v>
      </c>
      <c r="AH300">
        <v>4</v>
      </c>
      <c r="AI300">
        <v>7</v>
      </c>
      <c r="AJ300" t="s">
        <v>382</v>
      </c>
      <c r="AK300">
        <v>0</v>
      </c>
      <c r="AL300">
        <v>17</v>
      </c>
    </row>
    <row r="301" spans="1:38" x14ac:dyDescent="0.25">
      <c r="A301" t="s">
        <v>1029</v>
      </c>
      <c r="B301">
        <v>10127</v>
      </c>
      <c r="C301">
        <v>0</v>
      </c>
      <c r="D301">
        <v>4</v>
      </c>
      <c r="E301">
        <v>0</v>
      </c>
      <c r="F301">
        <v>1</v>
      </c>
      <c r="G301">
        <v>3</v>
      </c>
      <c r="H301">
        <v>3</v>
      </c>
      <c r="I301">
        <v>0</v>
      </c>
      <c r="J301">
        <v>107226</v>
      </c>
      <c r="K301">
        <v>0</v>
      </c>
      <c r="L301">
        <v>28</v>
      </c>
      <c r="M301" t="s">
        <v>323</v>
      </c>
      <c r="N301" t="e" vm="1">
        <v>#VALUE!</v>
      </c>
      <c r="O301">
        <v>2453</v>
      </c>
      <c r="P301" t="s">
        <v>1030</v>
      </c>
      <c r="Q301" t="s">
        <v>68</v>
      </c>
      <c r="R301">
        <f t="shared" ca="1" si="12"/>
        <v>38</v>
      </c>
      <c r="S301" t="s">
        <v>99</v>
      </c>
      <c r="T301" t="s">
        <v>43</v>
      </c>
      <c r="U301" t="s">
        <v>44</v>
      </c>
      <c r="V301" t="s">
        <v>165</v>
      </c>
      <c r="W301" t="s">
        <v>57</v>
      </c>
      <c r="X301">
        <f t="shared" ca="1" si="14"/>
        <v>3</v>
      </c>
      <c r="Z301" t="str">
        <f t="shared" ca="1" si="13"/>
        <v/>
      </c>
      <c r="AA301" t="s">
        <v>47</v>
      </c>
      <c r="AB301" t="s">
        <v>60</v>
      </c>
      <c r="AC301" t="s">
        <v>115</v>
      </c>
      <c r="AD301">
        <v>7</v>
      </c>
      <c r="AE301" t="s">
        <v>102</v>
      </c>
      <c r="AF301" t="s">
        <v>63</v>
      </c>
      <c r="AG301">
        <v>4.2</v>
      </c>
      <c r="AH301">
        <v>4</v>
      </c>
      <c r="AI301">
        <v>8</v>
      </c>
      <c r="AJ301" t="s">
        <v>1031</v>
      </c>
      <c r="AK301">
        <v>0</v>
      </c>
      <c r="AL301">
        <v>7</v>
      </c>
    </row>
    <row r="302" spans="1:38" x14ac:dyDescent="0.25">
      <c r="A302" t="s">
        <v>1032</v>
      </c>
      <c r="B302">
        <v>10072</v>
      </c>
      <c r="C302">
        <v>0</v>
      </c>
      <c r="D302">
        <v>0</v>
      </c>
      <c r="E302">
        <v>1</v>
      </c>
      <c r="F302">
        <v>5</v>
      </c>
      <c r="G302">
        <v>5</v>
      </c>
      <c r="H302">
        <v>3</v>
      </c>
      <c r="I302">
        <v>0</v>
      </c>
      <c r="J302">
        <v>58371</v>
      </c>
      <c r="K302">
        <v>1</v>
      </c>
      <c r="L302">
        <v>19</v>
      </c>
      <c r="M302" t="s">
        <v>39</v>
      </c>
      <c r="N302" t="e" vm="1">
        <v>#VALUE!</v>
      </c>
      <c r="O302">
        <v>2030</v>
      </c>
      <c r="P302" t="s">
        <v>1033</v>
      </c>
      <c r="Q302" t="s">
        <v>41</v>
      </c>
      <c r="R302">
        <f t="shared" ca="1" si="12"/>
        <v>29</v>
      </c>
      <c r="S302" t="s">
        <v>42</v>
      </c>
      <c r="T302" t="s">
        <v>43</v>
      </c>
      <c r="U302" t="s">
        <v>119</v>
      </c>
      <c r="V302" t="s">
        <v>45</v>
      </c>
      <c r="W302" t="s">
        <v>120</v>
      </c>
      <c r="X302">
        <f t="shared" ca="1" si="14"/>
        <v>8</v>
      </c>
      <c r="Y302" t="s">
        <v>1034</v>
      </c>
      <c r="Z302">
        <f t="shared" ca="1" si="13"/>
        <v>264</v>
      </c>
      <c r="AA302" t="s">
        <v>59</v>
      </c>
      <c r="AB302" t="s">
        <v>48</v>
      </c>
      <c r="AC302" t="s">
        <v>82</v>
      </c>
      <c r="AD302">
        <v>39</v>
      </c>
      <c r="AE302" t="s">
        <v>50</v>
      </c>
      <c r="AF302" t="s">
        <v>63</v>
      </c>
      <c r="AG302">
        <v>5</v>
      </c>
      <c r="AH302">
        <v>5</v>
      </c>
      <c r="AI302">
        <v>0</v>
      </c>
      <c r="AJ302" t="s">
        <v>1035</v>
      </c>
      <c r="AK302">
        <v>0</v>
      </c>
      <c r="AL302">
        <v>11</v>
      </c>
    </row>
    <row r="303" spans="1:38" x14ac:dyDescent="0.25">
      <c r="A303" t="s">
        <v>1036</v>
      </c>
      <c r="B303">
        <v>10048</v>
      </c>
      <c r="C303">
        <v>1</v>
      </c>
      <c r="D303">
        <v>1</v>
      </c>
      <c r="E303">
        <v>1</v>
      </c>
      <c r="F303">
        <v>5</v>
      </c>
      <c r="G303">
        <v>5</v>
      </c>
      <c r="H303">
        <v>3</v>
      </c>
      <c r="I303">
        <v>0</v>
      </c>
      <c r="J303">
        <v>55140</v>
      </c>
      <c r="K303">
        <v>1</v>
      </c>
      <c r="L303">
        <v>19</v>
      </c>
      <c r="M303" t="s">
        <v>39</v>
      </c>
      <c r="N303" t="e" vm="1">
        <v>#VALUE!</v>
      </c>
      <c r="O303">
        <v>2324</v>
      </c>
      <c r="P303" t="s">
        <v>1037</v>
      </c>
      <c r="Q303" t="s">
        <v>41</v>
      </c>
      <c r="R303">
        <f t="shared" ca="1" si="12"/>
        <v>59</v>
      </c>
      <c r="S303" t="s">
        <v>56</v>
      </c>
      <c r="T303" t="s">
        <v>155</v>
      </c>
      <c r="U303" t="s">
        <v>44</v>
      </c>
      <c r="V303" t="s">
        <v>45</v>
      </c>
      <c r="W303" t="s">
        <v>288</v>
      </c>
      <c r="X303">
        <f t="shared" ca="1" si="14"/>
        <v>7</v>
      </c>
      <c r="Y303" t="s">
        <v>1038</v>
      </c>
      <c r="Z303">
        <f t="shared" ca="1" si="13"/>
        <v>66</v>
      </c>
      <c r="AA303" t="s">
        <v>59</v>
      </c>
      <c r="AB303" t="s">
        <v>48</v>
      </c>
      <c r="AC303" t="s">
        <v>88</v>
      </c>
      <c r="AD303">
        <v>11</v>
      </c>
      <c r="AE303" t="s">
        <v>368</v>
      </c>
      <c r="AF303" t="s">
        <v>63</v>
      </c>
      <c r="AG303">
        <v>5</v>
      </c>
      <c r="AH303">
        <v>3</v>
      </c>
      <c r="AI303">
        <v>0</v>
      </c>
      <c r="AJ303" t="s">
        <v>623</v>
      </c>
      <c r="AK303">
        <v>0</v>
      </c>
      <c r="AL303">
        <v>7</v>
      </c>
    </row>
    <row r="304" spans="1:38" x14ac:dyDescent="0.25">
      <c r="A304" t="s">
        <v>1039</v>
      </c>
      <c r="B304">
        <v>10204</v>
      </c>
      <c r="C304">
        <v>0</v>
      </c>
      <c r="D304">
        <v>2</v>
      </c>
      <c r="E304">
        <v>0</v>
      </c>
      <c r="F304">
        <v>5</v>
      </c>
      <c r="G304">
        <v>5</v>
      </c>
      <c r="H304">
        <v>3</v>
      </c>
      <c r="I304">
        <v>0</v>
      </c>
      <c r="J304">
        <v>58062</v>
      </c>
      <c r="K304">
        <v>1</v>
      </c>
      <c r="L304">
        <v>19</v>
      </c>
      <c r="M304" t="s">
        <v>39</v>
      </c>
      <c r="N304" t="e" vm="1">
        <v>#VALUE!</v>
      </c>
      <c r="O304">
        <v>1876</v>
      </c>
      <c r="P304" t="s">
        <v>1040</v>
      </c>
      <c r="Q304" t="s">
        <v>68</v>
      </c>
      <c r="R304">
        <f t="shared" ca="1" si="12"/>
        <v>33</v>
      </c>
      <c r="S304" t="s">
        <v>79</v>
      </c>
      <c r="T304" t="s">
        <v>43</v>
      </c>
      <c r="U304" t="s">
        <v>44</v>
      </c>
      <c r="V304" t="s">
        <v>45</v>
      </c>
      <c r="W304" t="s">
        <v>120</v>
      </c>
      <c r="X304">
        <f t="shared" ca="1" si="14"/>
        <v>8</v>
      </c>
      <c r="Y304" t="s">
        <v>1041</v>
      </c>
      <c r="Z304">
        <f t="shared" ca="1" si="13"/>
        <v>462</v>
      </c>
      <c r="AA304" t="s">
        <v>59</v>
      </c>
      <c r="AB304" t="s">
        <v>48</v>
      </c>
      <c r="AC304" t="s">
        <v>101</v>
      </c>
      <c r="AD304">
        <v>19</v>
      </c>
      <c r="AE304" t="s">
        <v>83</v>
      </c>
      <c r="AF304" t="s">
        <v>63</v>
      </c>
      <c r="AG304">
        <v>3.6</v>
      </c>
      <c r="AH304">
        <v>5</v>
      </c>
      <c r="AI304">
        <v>0</v>
      </c>
      <c r="AJ304" t="s">
        <v>1042</v>
      </c>
      <c r="AK304">
        <v>0</v>
      </c>
      <c r="AL304">
        <v>9</v>
      </c>
    </row>
    <row r="305" spans="1:38" x14ac:dyDescent="0.25">
      <c r="A305" t="s">
        <v>1043</v>
      </c>
      <c r="B305">
        <v>10264</v>
      </c>
      <c r="C305">
        <v>0</v>
      </c>
      <c r="D305">
        <v>0</v>
      </c>
      <c r="E305">
        <v>0</v>
      </c>
      <c r="F305">
        <v>5</v>
      </c>
      <c r="G305">
        <v>5</v>
      </c>
      <c r="H305">
        <v>3</v>
      </c>
      <c r="I305">
        <v>1</v>
      </c>
      <c r="J305">
        <v>59728</v>
      </c>
      <c r="K305">
        <v>1</v>
      </c>
      <c r="L305">
        <v>19</v>
      </c>
      <c r="M305" t="s">
        <v>39</v>
      </c>
      <c r="N305" t="e" vm="1">
        <v>#VALUE!</v>
      </c>
      <c r="O305">
        <v>2109</v>
      </c>
      <c r="P305" t="s">
        <v>1044</v>
      </c>
      <c r="Q305" t="s">
        <v>68</v>
      </c>
      <c r="R305">
        <f t="shared" ca="1" si="12"/>
        <v>54</v>
      </c>
      <c r="S305" t="s">
        <v>42</v>
      </c>
      <c r="T305" t="s">
        <v>43</v>
      </c>
      <c r="U305" t="s">
        <v>119</v>
      </c>
      <c r="V305" t="s">
        <v>106</v>
      </c>
      <c r="W305" t="s">
        <v>87</v>
      </c>
      <c r="X305">
        <f t="shared" ca="1" si="14"/>
        <v>7</v>
      </c>
      <c r="Y305" t="s">
        <v>1045</v>
      </c>
      <c r="Z305">
        <f t="shared" ca="1" si="13"/>
        <v>342</v>
      </c>
      <c r="AA305" t="s">
        <v>59</v>
      </c>
      <c r="AB305" t="s">
        <v>48</v>
      </c>
      <c r="AC305" t="s">
        <v>101</v>
      </c>
      <c r="AD305">
        <v>19</v>
      </c>
      <c r="AE305" t="s">
        <v>109</v>
      </c>
      <c r="AF305" t="s">
        <v>63</v>
      </c>
      <c r="AG305">
        <v>4.3</v>
      </c>
      <c r="AH305">
        <v>4</v>
      </c>
      <c r="AI305">
        <v>0</v>
      </c>
      <c r="AJ305" t="s">
        <v>1046</v>
      </c>
      <c r="AK305">
        <v>0</v>
      </c>
      <c r="AL305">
        <v>16</v>
      </c>
    </row>
    <row r="306" spans="1:38" x14ac:dyDescent="0.25">
      <c r="A306" t="s">
        <v>1047</v>
      </c>
      <c r="B306">
        <v>10033</v>
      </c>
      <c r="C306">
        <v>0</v>
      </c>
      <c r="D306">
        <v>0</v>
      </c>
      <c r="E306">
        <v>1</v>
      </c>
      <c r="F306">
        <v>5</v>
      </c>
      <c r="G306">
        <v>5</v>
      </c>
      <c r="H306">
        <v>4</v>
      </c>
      <c r="I306">
        <v>0</v>
      </c>
      <c r="J306">
        <v>70507</v>
      </c>
      <c r="K306">
        <v>1</v>
      </c>
      <c r="L306">
        <v>20</v>
      </c>
      <c r="M306" t="s">
        <v>66</v>
      </c>
      <c r="N306" t="e" vm="1">
        <v>#VALUE!</v>
      </c>
      <c r="O306">
        <v>2045</v>
      </c>
      <c r="P306" t="s">
        <v>1048</v>
      </c>
      <c r="Q306" t="s">
        <v>41</v>
      </c>
      <c r="R306">
        <f t="shared" ca="1" si="12"/>
        <v>60</v>
      </c>
      <c r="S306" t="s">
        <v>42</v>
      </c>
      <c r="T306" t="s">
        <v>43</v>
      </c>
      <c r="U306" t="s">
        <v>44</v>
      </c>
      <c r="V306" t="s">
        <v>45</v>
      </c>
      <c r="W306" t="s">
        <v>372</v>
      </c>
      <c r="X306">
        <f t="shared" ca="1" si="14"/>
        <v>6</v>
      </c>
      <c r="Y306" t="s">
        <v>1049</v>
      </c>
      <c r="Z306">
        <f t="shared" ca="1" si="13"/>
        <v>132</v>
      </c>
      <c r="AA306" t="s">
        <v>59</v>
      </c>
      <c r="AB306" t="s">
        <v>48</v>
      </c>
      <c r="AC306" t="s">
        <v>108</v>
      </c>
      <c r="AD306">
        <v>12</v>
      </c>
      <c r="AE306" t="s">
        <v>50</v>
      </c>
      <c r="AF306" t="s">
        <v>51</v>
      </c>
      <c r="AG306">
        <v>5</v>
      </c>
      <c r="AH306">
        <v>3</v>
      </c>
      <c r="AI306">
        <v>0</v>
      </c>
      <c r="AJ306" t="s">
        <v>1050</v>
      </c>
      <c r="AK306">
        <v>0</v>
      </c>
      <c r="AL306">
        <v>7</v>
      </c>
    </row>
    <row r="307" spans="1:38" x14ac:dyDescent="0.25">
      <c r="A307" t="s">
        <v>1051</v>
      </c>
      <c r="B307">
        <v>10174</v>
      </c>
      <c r="C307">
        <v>0</v>
      </c>
      <c r="D307">
        <v>0</v>
      </c>
      <c r="E307">
        <v>0</v>
      </c>
      <c r="F307">
        <v>1</v>
      </c>
      <c r="G307">
        <v>5</v>
      </c>
      <c r="H307">
        <v>3</v>
      </c>
      <c r="I307">
        <v>0</v>
      </c>
      <c r="J307">
        <v>60446</v>
      </c>
      <c r="K307">
        <v>0</v>
      </c>
      <c r="L307">
        <v>20</v>
      </c>
      <c r="M307" t="s">
        <v>66</v>
      </c>
      <c r="N307" t="e" vm="1">
        <v>#VALUE!</v>
      </c>
      <c r="O307">
        <v>2302</v>
      </c>
      <c r="P307" t="s">
        <v>1052</v>
      </c>
      <c r="Q307" t="s">
        <v>68</v>
      </c>
      <c r="R307">
        <f t="shared" ca="1" si="12"/>
        <v>31</v>
      </c>
      <c r="S307" t="s">
        <v>42</v>
      </c>
      <c r="T307" t="s">
        <v>43</v>
      </c>
      <c r="U307" t="s">
        <v>44</v>
      </c>
      <c r="V307" t="s">
        <v>45</v>
      </c>
      <c r="W307" t="s">
        <v>214</v>
      </c>
      <c r="X307">
        <f t="shared" ca="1" si="14"/>
        <v>4</v>
      </c>
      <c r="Z307" t="str">
        <f t="shared" ca="1" si="13"/>
        <v/>
      </c>
      <c r="AA307" t="s">
        <v>47</v>
      </c>
      <c r="AB307" t="s">
        <v>48</v>
      </c>
      <c r="AC307" t="s">
        <v>122</v>
      </c>
      <c r="AD307">
        <v>14</v>
      </c>
      <c r="AE307" t="s">
        <v>50</v>
      </c>
      <c r="AF307" t="s">
        <v>63</v>
      </c>
      <c r="AG307">
        <v>3.4</v>
      </c>
      <c r="AH307">
        <v>4</v>
      </c>
      <c r="AI307">
        <v>0</v>
      </c>
      <c r="AJ307" t="s">
        <v>232</v>
      </c>
      <c r="AK307">
        <v>0</v>
      </c>
      <c r="AL307">
        <v>14</v>
      </c>
    </row>
    <row r="308" spans="1:38" x14ac:dyDescent="0.25">
      <c r="A308" t="s">
        <v>1053</v>
      </c>
      <c r="B308">
        <v>10135</v>
      </c>
      <c r="C308">
        <v>0</v>
      </c>
      <c r="D308">
        <v>0</v>
      </c>
      <c r="E308">
        <v>1</v>
      </c>
      <c r="F308">
        <v>1</v>
      </c>
      <c r="G308">
        <v>5</v>
      </c>
      <c r="H308">
        <v>3</v>
      </c>
      <c r="I308">
        <v>0</v>
      </c>
      <c r="J308">
        <v>65893</v>
      </c>
      <c r="K308">
        <v>0</v>
      </c>
      <c r="L308">
        <v>20</v>
      </c>
      <c r="M308" t="s">
        <v>66</v>
      </c>
      <c r="N308" t="e" vm="1">
        <v>#VALUE!</v>
      </c>
      <c r="O308">
        <v>1810</v>
      </c>
      <c r="P308" t="s">
        <v>1054</v>
      </c>
      <c r="Q308" t="s">
        <v>41</v>
      </c>
      <c r="R308">
        <f t="shared" ca="1" si="12"/>
        <v>31</v>
      </c>
      <c r="S308" t="s">
        <v>42</v>
      </c>
      <c r="T308" t="s">
        <v>43</v>
      </c>
      <c r="U308" t="s">
        <v>44</v>
      </c>
      <c r="V308" t="s">
        <v>45</v>
      </c>
      <c r="W308" t="s">
        <v>160</v>
      </c>
      <c r="X308">
        <f t="shared" ca="1" si="14"/>
        <v>4</v>
      </c>
      <c r="Z308" t="str">
        <f t="shared" ca="1" si="13"/>
        <v/>
      </c>
      <c r="AA308" t="s">
        <v>47</v>
      </c>
      <c r="AB308" t="s">
        <v>48</v>
      </c>
      <c r="AC308" t="s">
        <v>70</v>
      </c>
      <c r="AD308">
        <v>20</v>
      </c>
      <c r="AE308" t="s">
        <v>50</v>
      </c>
      <c r="AF308" t="s">
        <v>63</v>
      </c>
      <c r="AG308">
        <v>4.07</v>
      </c>
      <c r="AH308">
        <v>4</v>
      </c>
      <c r="AI308">
        <v>0</v>
      </c>
      <c r="AJ308" t="s">
        <v>299</v>
      </c>
      <c r="AK308">
        <v>0</v>
      </c>
      <c r="AL308">
        <v>13</v>
      </c>
    </row>
    <row r="309" spans="1:38" x14ac:dyDescent="0.25">
      <c r="A309" t="s">
        <v>1055</v>
      </c>
      <c r="B309">
        <v>10301</v>
      </c>
      <c r="C309">
        <v>0</v>
      </c>
      <c r="D309">
        <v>0</v>
      </c>
      <c r="E309">
        <v>0</v>
      </c>
      <c r="F309">
        <v>5</v>
      </c>
      <c r="G309">
        <v>5</v>
      </c>
      <c r="H309">
        <v>1</v>
      </c>
      <c r="I309">
        <v>0</v>
      </c>
      <c r="J309">
        <v>48513</v>
      </c>
      <c r="K309">
        <v>1</v>
      </c>
      <c r="L309">
        <v>19</v>
      </c>
      <c r="M309" t="s">
        <v>39</v>
      </c>
      <c r="N309" t="e" vm="1">
        <v>#VALUE!</v>
      </c>
      <c r="O309">
        <v>2458</v>
      </c>
      <c r="P309" t="s">
        <v>1056</v>
      </c>
      <c r="Q309" t="s">
        <v>68</v>
      </c>
      <c r="R309">
        <f t="shared" ca="1" si="12"/>
        <v>35</v>
      </c>
      <c r="S309" t="s">
        <v>42</v>
      </c>
      <c r="T309" t="s">
        <v>43</v>
      </c>
      <c r="U309" t="s">
        <v>44</v>
      </c>
      <c r="V309" t="s">
        <v>165</v>
      </c>
      <c r="W309" t="s">
        <v>1057</v>
      </c>
      <c r="X309">
        <f t="shared" ca="1" si="14"/>
        <v>10</v>
      </c>
      <c r="Y309" t="s">
        <v>779</v>
      </c>
      <c r="Z309">
        <f t="shared" ca="1" si="13"/>
        <v>848</v>
      </c>
      <c r="AA309" t="s">
        <v>59</v>
      </c>
      <c r="AB309" t="s">
        <v>48</v>
      </c>
      <c r="AC309" t="s">
        <v>108</v>
      </c>
      <c r="AD309">
        <v>12</v>
      </c>
      <c r="AE309" t="s">
        <v>83</v>
      </c>
      <c r="AF309" t="s">
        <v>351</v>
      </c>
      <c r="AG309">
        <v>3.2</v>
      </c>
      <c r="AH309">
        <v>2</v>
      </c>
      <c r="AI309">
        <v>0</v>
      </c>
      <c r="AJ309" t="s">
        <v>1058</v>
      </c>
      <c r="AK309">
        <v>5</v>
      </c>
      <c r="AL309">
        <v>4</v>
      </c>
    </row>
    <row r="310" spans="1:38" x14ac:dyDescent="0.25">
      <c r="A310" t="s">
        <v>1059</v>
      </c>
      <c r="B310">
        <v>10010</v>
      </c>
      <c r="C310">
        <v>0</v>
      </c>
      <c r="D310">
        <v>0</v>
      </c>
      <c r="E310">
        <v>0</v>
      </c>
      <c r="F310">
        <v>1</v>
      </c>
      <c r="G310">
        <v>3</v>
      </c>
      <c r="H310">
        <v>4</v>
      </c>
      <c r="I310">
        <v>0</v>
      </c>
      <c r="J310">
        <v>220450</v>
      </c>
      <c r="K310">
        <v>0</v>
      </c>
      <c r="L310">
        <v>6</v>
      </c>
      <c r="M310" t="s">
        <v>1060</v>
      </c>
      <c r="N310" t="e" vm="1">
        <v>#VALUE!</v>
      </c>
      <c r="O310">
        <v>2067</v>
      </c>
      <c r="P310" t="s">
        <v>1061</v>
      </c>
      <c r="Q310" t="s">
        <v>68</v>
      </c>
      <c r="R310">
        <f t="shared" ca="1" si="12"/>
        <v>40</v>
      </c>
      <c r="S310" t="s">
        <v>42</v>
      </c>
      <c r="T310" t="s">
        <v>43</v>
      </c>
      <c r="U310" t="s">
        <v>44</v>
      </c>
      <c r="V310" t="s">
        <v>45</v>
      </c>
      <c r="W310" t="s">
        <v>1062</v>
      </c>
      <c r="X310">
        <f t="shared" ca="1" si="14"/>
        <v>8</v>
      </c>
      <c r="Z310" t="str">
        <f t="shared" ca="1" si="13"/>
        <v/>
      </c>
      <c r="AA310" t="s">
        <v>47</v>
      </c>
      <c r="AB310" t="s">
        <v>60</v>
      </c>
      <c r="AC310" t="s">
        <v>201</v>
      </c>
      <c r="AD310">
        <v>2</v>
      </c>
      <c r="AE310" t="s">
        <v>102</v>
      </c>
      <c r="AF310" t="s">
        <v>51</v>
      </c>
      <c r="AG310">
        <v>4.5999999999999996</v>
      </c>
      <c r="AH310">
        <v>5</v>
      </c>
      <c r="AI310">
        <v>6</v>
      </c>
      <c r="AJ310" t="s">
        <v>232</v>
      </c>
      <c r="AK310">
        <v>0</v>
      </c>
      <c r="AL310">
        <v>16</v>
      </c>
    </row>
    <row r="311" spans="1:38" x14ac:dyDescent="0.25">
      <c r="A311" t="s">
        <v>1063</v>
      </c>
      <c r="B311">
        <v>10043</v>
      </c>
      <c r="C311">
        <v>0</v>
      </c>
      <c r="D311">
        <v>0</v>
      </c>
      <c r="E311">
        <v>0</v>
      </c>
      <c r="F311">
        <v>1</v>
      </c>
      <c r="G311">
        <v>3</v>
      </c>
      <c r="H311">
        <v>3</v>
      </c>
      <c r="I311">
        <v>0</v>
      </c>
      <c r="J311">
        <v>89292</v>
      </c>
      <c r="K311">
        <v>0</v>
      </c>
      <c r="L311">
        <v>9</v>
      </c>
      <c r="M311" t="s">
        <v>130</v>
      </c>
      <c r="N311" t="e" vm="1">
        <v>#VALUE!</v>
      </c>
      <c r="O311">
        <v>2148</v>
      </c>
      <c r="P311" t="s">
        <v>1064</v>
      </c>
      <c r="Q311" t="s">
        <v>68</v>
      </c>
      <c r="R311">
        <f t="shared" ca="1" si="12"/>
        <v>42</v>
      </c>
      <c r="S311" t="s">
        <v>42</v>
      </c>
      <c r="T311" t="s">
        <v>43</v>
      </c>
      <c r="U311" t="s">
        <v>44</v>
      </c>
      <c r="V311" t="s">
        <v>45</v>
      </c>
      <c r="W311" t="s">
        <v>57</v>
      </c>
      <c r="X311">
        <f t="shared" ca="1" si="14"/>
        <v>3</v>
      </c>
      <c r="Z311" t="str">
        <f t="shared" ca="1" si="13"/>
        <v/>
      </c>
      <c r="AA311" t="s">
        <v>47</v>
      </c>
      <c r="AB311" t="s">
        <v>60</v>
      </c>
      <c r="AC311" t="s">
        <v>61</v>
      </c>
      <c r="AD311">
        <v>4</v>
      </c>
      <c r="AE311" t="s">
        <v>102</v>
      </c>
      <c r="AF311" t="s">
        <v>63</v>
      </c>
      <c r="AG311">
        <v>5</v>
      </c>
      <c r="AH311">
        <v>3</v>
      </c>
      <c r="AI311">
        <v>5</v>
      </c>
      <c r="AJ311" t="s">
        <v>215</v>
      </c>
      <c r="AK311">
        <v>0</v>
      </c>
      <c r="AL311">
        <v>11</v>
      </c>
    </row>
    <row r="312" spans="1:38" x14ac:dyDescent="0.25">
      <c r="A312" t="s">
        <v>1065</v>
      </c>
      <c r="B312">
        <v>10271</v>
      </c>
      <c r="C312">
        <v>0</v>
      </c>
      <c r="D312">
        <v>4</v>
      </c>
      <c r="E312">
        <v>0</v>
      </c>
      <c r="F312">
        <v>1</v>
      </c>
      <c r="G312">
        <v>5</v>
      </c>
      <c r="H312">
        <v>3</v>
      </c>
      <c r="I312">
        <v>0</v>
      </c>
      <c r="J312">
        <v>45046</v>
      </c>
      <c r="K312">
        <v>0</v>
      </c>
      <c r="L312">
        <v>19</v>
      </c>
      <c r="M312" t="s">
        <v>39</v>
      </c>
      <c r="N312" t="e" vm="1">
        <v>#VALUE!</v>
      </c>
      <c r="O312">
        <v>1730</v>
      </c>
      <c r="P312" t="s">
        <v>1066</v>
      </c>
      <c r="Q312" t="s">
        <v>68</v>
      </c>
      <c r="R312">
        <f t="shared" ca="1" si="12"/>
        <v>43</v>
      </c>
      <c r="S312" t="s">
        <v>99</v>
      </c>
      <c r="T312" t="s">
        <v>43</v>
      </c>
      <c r="U312" t="s">
        <v>44</v>
      </c>
      <c r="V312" t="s">
        <v>165</v>
      </c>
      <c r="W312" t="s">
        <v>214</v>
      </c>
      <c r="X312">
        <f t="shared" ca="1" si="14"/>
        <v>4</v>
      </c>
      <c r="Z312" t="str">
        <f t="shared" ca="1" si="13"/>
        <v/>
      </c>
      <c r="AA312" t="s">
        <v>47</v>
      </c>
      <c r="AB312" t="s">
        <v>48</v>
      </c>
      <c r="AC312" t="s">
        <v>122</v>
      </c>
      <c r="AD312">
        <v>14</v>
      </c>
      <c r="AE312" t="s">
        <v>50</v>
      </c>
      <c r="AF312" t="s">
        <v>63</v>
      </c>
      <c r="AG312">
        <v>4.5</v>
      </c>
      <c r="AH312">
        <v>5</v>
      </c>
      <c r="AI312">
        <v>0</v>
      </c>
      <c r="AJ312" t="s">
        <v>245</v>
      </c>
      <c r="AK312">
        <v>0</v>
      </c>
      <c r="AL312">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moses toetwek</dc:creator>
  <cp:lastModifiedBy>moses toetwek</cp:lastModifiedBy>
  <dcterms:created xsi:type="dcterms:W3CDTF">2026-08-13T10:57:04Z</dcterms:created>
  <dcterms:modified xsi:type="dcterms:W3CDTF">2026-08-13T10:58:09Z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2026-08-13T10:57:54Z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3a88e126-2771-4d4c-b622-f6d7a8bec036</vt:lpwstr>
  </property>
  <property fmtid="{D5CDD505-2E9C-101B-9397-08002B2CF9AE}" pid="7" name="MSIP_Label_defa4170-0d19-0005-0004-bc88714345d2_ActionId">
    <vt:lpwstr>5038865d-45f0-486c-991c-5705535bad73</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